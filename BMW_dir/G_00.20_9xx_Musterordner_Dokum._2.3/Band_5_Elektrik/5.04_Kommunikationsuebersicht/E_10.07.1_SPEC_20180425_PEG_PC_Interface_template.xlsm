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10_CoC\04_CoC_ETST\21_ST\302_Standard_TMO_Version_V3.0\E_10_IT_System_Interfaces\"/>
    </mc:Choice>
  </mc:AlternateContent>
  <bookViews>
    <workbookView xWindow="60" yWindow="-96" windowWidth="24996" windowHeight="11808" tabRatio="897" activeTab="5"/>
  </bookViews>
  <sheets>
    <sheet name="Filled_by_requestor" sheetId="22" r:id="rId1"/>
    <sheet name="SPSDATEN" sheetId="24" r:id="rId2"/>
    <sheet name="SPSDELET" sheetId="25" r:id="rId3"/>
    <sheet name="SPSFRGIO" sheetId="27" r:id="rId4"/>
    <sheet name="SPS_UDAT" sheetId="30" r:id="rId5"/>
    <sheet name="Changes" sheetId="29" r:id="rId6"/>
    <sheet name="SPS_PING" sheetId="26" state="hidden" r:id="rId7"/>
  </sheets>
  <externalReferences>
    <externalReference r:id="rId8"/>
  </externalReferences>
  <definedNames>
    <definedName name="Ablage" localSheetId="5">#REF!</definedName>
    <definedName name="Ablage">#REF!</definedName>
    <definedName name="Aktoren_Sensoren">#REF!</definedName>
    <definedName name="Control">#REF!</definedName>
    <definedName name="Dokumentart" localSheetId="5">#REF!</definedName>
    <definedName name="Dokumentart">#REF!</definedName>
    <definedName name="Dokumentkategorie" localSheetId="5">#REF!</definedName>
    <definedName name="Dokumentkategorie">#REF!</definedName>
    <definedName name="_xlnm.Print_Area" localSheetId="5">Changes!$A$1:$E$15</definedName>
    <definedName name="_xlnm.Print_Area" localSheetId="0">Filled_by_requestor!$A$1:$N$70</definedName>
    <definedName name="_xlnm.Print_Area" localSheetId="6">SPS_PING!$A$1:$H$21</definedName>
    <definedName name="_xlnm.Print_Area" localSheetId="1">SPSDATEN!$A$1:$H$39</definedName>
    <definedName name="_xlnm.Print_Area" localSheetId="2">SPSDELET!$A$1:$H$27</definedName>
    <definedName name="_xlnm.Print_Area" localSheetId="3">SPSFRGIO!$A$1:$H$26</definedName>
    <definedName name="Komponenten">[1]Daten!$A$2:$A$500</definedName>
    <definedName name="Ordner_Archive">#REF!</definedName>
    <definedName name="Prozessnummer" localSheetId="5">#REF!</definedName>
    <definedName name="Prozessnummer">#REF!</definedName>
    <definedName name="SIMATC_TIA_Profinet_Gerätenamen">#REF!</definedName>
    <definedName name="Simatic">#REF!</definedName>
    <definedName name="Simatic_TIA_Adressvergaben">#REF!</definedName>
    <definedName name="TCPIP_Namen">#REF!</definedName>
    <definedName name="Test">#REF!</definedName>
    <definedName name="Z_2E70E708_B73C_4323_9253_4875EF82DB2B_.wvu.Rows" localSheetId="0" hidden="1">Filled_by_requestor!$29:$42,Filled_by_requestor!$60:$70</definedName>
    <definedName name="Zugriffsbeschränkung" localSheetId="5">#REF!</definedName>
    <definedName name="Zugriffsbeschränkung">#REF!</definedName>
  </definedNames>
  <calcPr calcId="152511"/>
  <customWorkbookViews>
    <customWorkbookView name="PLC specific information" guid="{2E70E708-B73C-4323-9253-4875EF82DB2B}" includePrintSettings="0" maximized="1" xWindow="1" yWindow="1" windowWidth="1362" windowHeight="548" tabRatio="897" activeSheetId="22"/>
  </customWorkbookViews>
</workbook>
</file>

<file path=xl/calcChain.xml><?xml version="1.0" encoding="utf-8"?>
<calcChain xmlns="http://schemas.openxmlformats.org/spreadsheetml/2006/main">
  <c r="E13" i="25" l="1"/>
  <c r="E9" i="25"/>
  <c r="E8" i="25"/>
  <c r="C3" i="22"/>
  <c r="E14" i="26" l="1"/>
  <c r="E13" i="24"/>
  <c r="E9" i="27"/>
  <c r="E8" i="27"/>
  <c r="E10" i="26"/>
  <c r="E9" i="26"/>
  <c r="E9" i="24"/>
  <c r="E8" i="24"/>
</calcChain>
</file>

<file path=xl/sharedStrings.xml><?xml version="1.0" encoding="utf-8"?>
<sst xmlns="http://schemas.openxmlformats.org/spreadsheetml/2006/main" count="332" uniqueCount="173">
  <si>
    <t>1 - 8</t>
  </si>
  <si>
    <t>9 - 16</t>
  </si>
  <si>
    <t>17 - 24</t>
  </si>
  <si>
    <t>25 - 28</t>
  </si>
  <si>
    <t>29 - 32</t>
  </si>
  <si>
    <t>TELNAME</t>
  </si>
  <si>
    <t>IPS - Format</t>
  </si>
  <si>
    <t>ACKNO</t>
  </si>
  <si>
    <t>0000</t>
  </si>
  <si>
    <t>OR / FZ / FG / ID</t>
  </si>
  <si>
    <t>Character</t>
  </si>
  <si>
    <t>Number</t>
  </si>
  <si>
    <t>Field Name</t>
  </si>
  <si>
    <t>Example</t>
  </si>
  <si>
    <t>Description</t>
  </si>
  <si>
    <t>Telegram name</t>
  </si>
  <si>
    <t>alpha-
numeric</t>
  </si>
  <si>
    <t>numeric</t>
  </si>
  <si>
    <t>Original sender of the message. AKZ is a subset of the DNS name and must be setup according to the standardisation.</t>
  </si>
  <si>
    <t>Department code</t>
  </si>
  <si>
    <t>Tel. No</t>
  </si>
  <si>
    <t>Date</t>
  </si>
  <si>
    <t>Controls Planer</t>
  </si>
  <si>
    <t>Location</t>
  </si>
  <si>
    <t>IP Name/ IP Address</t>
  </si>
  <si>
    <t>Key of data set (OR/FG/FZ/ID)</t>
  </si>
  <si>
    <t>Version</t>
  </si>
  <si>
    <t>Author</t>
  </si>
  <si>
    <t>Changes</t>
  </si>
  <si>
    <t>V.1.0</t>
  </si>
  <si>
    <t>SPSDATEN</t>
  </si>
  <si>
    <t>TRANS Nr.</t>
  </si>
  <si>
    <t>Final destination of the message: Identifies BVIS KM  as communication partner</t>
  </si>
  <si>
    <t>KEY TYPE</t>
  </si>
  <si>
    <t>SOURCE</t>
  </si>
  <si>
    <t>DESTINATION</t>
  </si>
  <si>
    <t>33 - 34</t>
  </si>
  <si>
    <t>35 - 46</t>
  </si>
  <si>
    <t xml:space="preserve">KEY </t>
  </si>
  <si>
    <t>LFND</t>
  </si>
  <si>
    <t>47 - 52</t>
  </si>
  <si>
    <t>Running number, right aligned and filled with "0"</t>
  </si>
  <si>
    <t>53 - 60</t>
  </si>
  <si>
    <t>SPSDELET</t>
  </si>
  <si>
    <t>SPS_PING</t>
  </si>
  <si>
    <t>000000000000</t>
  </si>
  <si>
    <t>000000</t>
  </si>
  <si>
    <t>Fix with 12 "0"</t>
  </si>
  <si>
    <t>Fix with 6 "0"</t>
  </si>
  <si>
    <t>Fix with 4 "0"</t>
  </si>
  <si>
    <t>Empty</t>
  </si>
  <si>
    <t>8 blanks</t>
  </si>
  <si>
    <t xml:space="preserve">Communication </t>
  </si>
  <si>
    <t xml:space="preserve"> </t>
  </si>
  <si>
    <t>Facility specific Information/ Anlagenspezifische Informationation</t>
  </si>
  <si>
    <t>Process information/ Prozessbeschreibung</t>
  </si>
  <si>
    <t>What is the background of the process?/ Was ist der Hintergrund des Prozesses?</t>
  </si>
  <si>
    <t>Clarification of process flow/ Klärung des Prozessablaufs</t>
  </si>
  <si>
    <t>Description/ Bezeichnung</t>
  </si>
  <si>
    <t>List of tact-related telegrams / Liste der stationsbezogenen Telegramme</t>
  </si>
  <si>
    <t>Position/ Platz</t>
  </si>
  <si>
    <t>Telegram requirement/ Telegrammanforderungen</t>
  </si>
  <si>
    <t>In case of a connection break off on KM site, the connection will only be established by sending the SPS_PING/ Nach Verbindungsabbruch wird die Verbindung mit SPS_PING wieder hergestellt</t>
  </si>
  <si>
    <t>Source facility (e.g. AKZ)</t>
  </si>
  <si>
    <t>Facility description</t>
  </si>
  <si>
    <t>Test date</t>
  </si>
  <si>
    <t>SOP date (interface go-live)</t>
  </si>
  <si>
    <t>TRANS(4-digit)</t>
  </si>
  <si>
    <t>Short Description and AKZ + TPA/ Ticket (if available)</t>
  </si>
  <si>
    <t>This telegram is sent when entering the station/ Datentelegram bei Einfahrt in den Takt</t>
  </si>
  <si>
    <t>This telegram is sent when leaving the station/ Löschtelegramm bei Ausfahrt aus dem Takt</t>
  </si>
  <si>
    <t xml:space="preserve">This telegram will be sent every 3 min, if no other telegram is queuing/ Das Telegram wird alle 3min gesendet, wenn kein anderes Telegram ansteht
This is used </t>
  </si>
  <si>
    <t>SPS_PING is used for connection monitoring, especially for initialization of the connection/ Verbindungsüberwachung und Initialisieren der Verbindung</t>
  </si>
  <si>
    <t>TRANS Nr. consists of 4 digits, right aligned and filled with "0". It is defined as the line/ tact or the combination of both.</t>
  </si>
  <si>
    <t>TRANS Nr. consists of 4 digits, right aligned and filled with "0".</t>
  </si>
  <si>
    <t>FZ</t>
  </si>
  <si>
    <t>0123</t>
  </si>
  <si>
    <t>SPSPING telegram PLC--&gt; BVIS KM</t>
  </si>
  <si>
    <t>KEIN</t>
  </si>
  <si>
    <t>There is no acknowledgement by BVIS KM, therefore ACKNO=KEIN</t>
  </si>
  <si>
    <t>active</t>
  </si>
  <si>
    <t>passive</t>
  </si>
  <si>
    <t>ST005607</t>
  </si>
  <si>
    <t xml:space="preserve">PEG-PC Destination </t>
  </si>
  <si>
    <t>FM52MO01</t>
  </si>
  <si>
    <t>TSAP PLC</t>
  </si>
  <si>
    <t>TSAP PEG-PC</t>
  </si>
  <si>
    <t>RFC1006
ISO-on-TCP</t>
  </si>
  <si>
    <t>PEGPC001</t>
  </si>
  <si>
    <t>TCP-nativ</t>
  </si>
  <si>
    <t>Port PLC</t>
  </si>
  <si>
    <t>Port PEG-PC</t>
  </si>
  <si>
    <t>____3014</t>
  </si>
  <si>
    <t>____3001</t>
  </si>
  <si>
    <t>Facility specific interface contract PEG-PC
Anlagenspezifischer Schnittstellenkontrakt PEG-PC</t>
  </si>
  <si>
    <t xml:space="preserve">Ankopplung von Handschrauber PC's </t>
  </si>
  <si>
    <t xml:space="preserve">Ankopplung von Kamera PC's </t>
  </si>
  <si>
    <t>Ankopplung von IPS_Q Client-PC's</t>
  </si>
  <si>
    <t>Final destination of the message: Identifies PEG-Client  as communication partner</t>
  </si>
  <si>
    <t>35 - 42</t>
  </si>
  <si>
    <t xml:space="preserve">Key (7 digits), right aligned and filled with "0"
</t>
  </si>
  <si>
    <t>07654321</t>
  </si>
  <si>
    <t>Format</t>
  </si>
  <si>
    <t>SPSDATEN telegram PLC--&gt; PEG-PC</t>
  </si>
  <si>
    <t>SPSDELETE telegram PLC--&gt; PEG-PC (optional)</t>
  </si>
  <si>
    <t xml:space="preserve">Mit dem Quittiertelegramm SPSFRGIO wird der Band-SPS mitgeteilt, dass an diesem Ort der PEG-Prozess beendet wurde. </t>
  </si>
  <si>
    <t>It is used as release signal for the conveyor technique/ Damit erfolgt Fahrfreigabe für das Fördersystem.</t>
  </si>
  <si>
    <t>********</t>
  </si>
  <si>
    <r>
      <t>For SPSDELET, the Key is filled with 8</t>
    </r>
    <r>
      <rPr>
        <sz val="10"/>
        <rFont val="Courier New"/>
        <family val="3"/>
      </rPr>
      <t xml:space="preserve"> '*********'</t>
    </r>
  </si>
  <si>
    <t>SPSFRGIO telegramm for Ready signal PEG-PC --&gt; PLC (optional)</t>
  </si>
  <si>
    <t>Original sender of the message: Identifies PEG-Client  as communication partner</t>
  </si>
  <si>
    <t>Final destination of the message. AKZ is a subset of the DNS name and must be setup according to the standardisation.</t>
  </si>
  <si>
    <t>There is no acknowledgement, therefore ACKNO=KEIN</t>
  </si>
  <si>
    <t>STATUS</t>
  </si>
  <si>
    <t>**IO</t>
  </si>
  <si>
    <t>33 - 36</t>
  </si>
  <si>
    <t>37 - 42</t>
  </si>
  <si>
    <t>6 blanks</t>
  </si>
  <si>
    <r>
      <t>Acknoligement form the PEG-Client:</t>
    </r>
    <r>
      <rPr>
        <sz val="10"/>
        <rFont val="Courier New"/>
        <family val="3"/>
      </rPr>
      <t xml:space="preserve"> **IO / *NIO / *OBA</t>
    </r>
  </si>
  <si>
    <t>RFC1006</t>
  </si>
  <si>
    <t>SPSFRGIO</t>
  </si>
  <si>
    <t>1.0</t>
  </si>
  <si>
    <t>Neuerstellung  Telegrammbeschreibung</t>
  </si>
  <si>
    <t>Fehlerbereinigung: Die lfd. Nummer ist 4 Bytes lang, am Ende aber 14 blanks, damit wieder Gesamtlänge von 60 Bytes.</t>
  </si>
  <si>
    <t>43 - 46</t>
  </si>
  <si>
    <t>47 - 60</t>
  </si>
  <si>
    <t>14 blanks</t>
  </si>
  <si>
    <t>Fehlerbereinigung: Tabellenblatt 'SPSFRGIO' wird bei Auswahl der Checkbox wieder angezeigt</t>
  </si>
  <si>
    <t>BMW Group</t>
  </si>
  <si>
    <r>
      <rPr>
        <b/>
        <sz val="10"/>
        <color theme="1"/>
        <rFont val="BMW Group Condensed"/>
        <family val="2"/>
      </rPr>
      <t>Unterlagenklasse / Class of documents :</t>
    </r>
    <r>
      <rPr>
        <sz val="10"/>
        <color theme="1"/>
        <rFont val="BMW Group Condensed"/>
        <family val="2"/>
      </rPr>
      <t xml:space="preserve"> 7.1</t>
    </r>
  </si>
  <si>
    <r>
      <rPr>
        <b/>
        <sz val="10"/>
        <color theme="1"/>
        <rFont val="BMW Group Condensed"/>
        <family val="2"/>
      </rPr>
      <t>Gültigkeitsbereich / Valid for:</t>
    </r>
    <r>
      <rPr>
        <sz val="10"/>
        <color theme="1"/>
        <rFont val="BMW Group Condensed"/>
        <family val="2"/>
      </rPr>
      <t xml:space="preserve"> Technologie Montage / technology final assembly</t>
    </r>
  </si>
  <si>
    <r>
      <rPr>
        <b/>
        <sz val="10"/>
        <color theme="1"/>
        <rFont val="BMW Group Condensed"/>
        <family val="2"/>
      </rPr>
      <t>Status:</t>
    </r>
    <r>
      <rPr>
        <sz val="10"/>
        <color theme="1"/>
        <rFont val="BMW Group Condensed"/>
        <family val="2"/>
      </rPr>
      <t xml:space="preserve">
Valid</t>
    </r>
  </si>
  <si>
    <t>Beteiligte Personen/Fachstellen/Gremien :  
Involved persons/department/committees:</t>
  </si>
  <si>
    <t>Fachteam Steuerungstechnik</t>
  </si>
  <si>
    <t>Änderungshistorie / changes</t>
  </si>
  <si>
    <t>Version / Revision</t>
  </si>
  <si>
    <t>Bemerkung / Remarks</t>
  </si>
  <si>
    <t>Ersteller  / Written by
Kurzzeichen / Department
Datum / Date</t>
  </si>
  <si>
    <t>Prüfer / Validated by
Kurzzeichen / Department
Datum / Date</t>
  </si>
  <si>
    <t>Freigeber / Released on
Kurzzeichen / Department
Datum / Date</t>
  </si>
  <si>
    <t>2.0</t>
  </si>
  <si>
    <t>Lenkungsinformationen eingefügt</t>
  </si>
  <si>
    <t>S. Brauner, TP-412, 17.08.2017</t>
  </si>
  <si>
    <t>D. Hammerschmidt, TP-471, 17.08.2017</t>
  </si>
  <si>
    <t>H. Schwenk, TP-461, 17.08.2017</t>
  </si>
  <si>
    <r>
      <rPr>
        <b/>
        <sz val="10"/>
        <color theme="1"/>
        <rFont val="BMW Group Condensed"/>
        <family val="2"/>
      </rPr>
      <t>Nr.</t>
    </r>
    <r>
      <rPr>
        <sz val="10"/>
        <color theme="1"/>
        <rFont val="BMW Group Condensed"/>
        <family val="2"/>
      </rPr>
      <t>: E_10.07.1</t>
    </r>
  </si>
  <si>
    <t>Korrektur Ceckboxbeschriftung "SPSFRGIO"</t>
  </si>
  <si>
    <t>A. Wegerer, TR-413, 04.03.2015</t>
  </si>
  <si>
    <t>T. Berger, TP-441, 01.03.2017</t>
  </si>
  <si>
    <t>M. Ulrich, TP-412, 28.04.2017</t>
  </si>
  <si>
    <t>1.1</t>
  </si>
  <si>
    <t>1.2</t>
  </si>
  <si>
    <t>1.3</t>
  </si>
  <si>
    <t>2.1</t>
  </si>
  <si>
    <t>T. Berger, TP-441, 25.04.2018</t>
  </si>
  <si>
    <r>
      <rPr>
        <b/>
        <sz val="10"/>
        <color rgb="FFFF0000"/>
        <rFont val="BMW Group Condensed"/>
        <family val="2"/>
      </rPr>
      <t>Version / Revision:</t>
    </r>
    <r>
      <rPr>
        <sz val="10"/>
        <color rgb="FFFF0000"/>
        <rFont val="BMW Group Condensed"/>
        <family val="2"/>
      </rPr>
      <t xml:space="preserve"> 2.1             </t>
    </r>
  </si>
  <si>
    <t>SPS_UDAT telegramm for Ready signal PEG-PC --&gt; PLC</t>
  </si>
  <si>
    <t>M6B05B10</t>
  </si>
  <si>
    <t>K6NGAL01</t>
  </si>
  <si>
    <t>SPS_UDAT</t>
  </si>
  <si>
    <t>33 - 40</t>
  </si>
  <si>
    <t>0FG54321</t>
  </si>
  <si>
    <t>Fahrgestellnummer</t>
  </si>
  <si>
    <r>
      <t xml:space="preserve">41 - </t>
    </r>
    <r>
      <rPr>
        <sz val="10"/>
        <color rgb="FFFF0000"/>
        <rFont val="Calibri"/>
        <family val="2"/>
        <scheme val="minor"/>
      </rPr>
      <t>44</t>
    </r>
  </si>
  <si>
    <t>Attribute</t>
  </si>
  <si>
    <t>KM01</t>
  </si>
  <si>
    <t>z.B. KM01 [BlockID] Definition durch Planer</t>
  </si>
  <si>
    <t>45 - 104</t>
  </si>
  <si>
    <t>DATA</t>
  </si>
  <si>
    <t>60 Zeichen</t>
  </si>
  <si>
    <r>
      <t xml:space="preserve">Inhalt linksbündig / </t>
    </r>
    <r>
      <rPr>
        <sz val="10"/>
        <color rgb="FFFF0000"/>
        <rFont val="Calibri"/>
        <family val="2"/>
        <scheme val="minor"/>
      </rPr>
      <t>Rest füllen mit [Blanks]</t>
    </r>
  </si>
  <si>
    <t>Ergänzung Telegramm SPS_UDAT</t>
  </si>
  <si>
    <t>Mit dem SPS_UDAT Telegramm werden der Band-SPS Nutzdaten pro Merkmal mitgeteilt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</si>
</sst>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name val="BMWType V2 Bold"/>
    </font>
    <font>
      <sz val="14"/>
      <name val="BMWType V2 Bold"/>
    </font>
    <font>
      <b/>
      <sz val="10"/>
      <color theme="4"/>
      <name val="BMWType V2 Light"/>
    </font>
    <font>
      <b/>
      <sz val="12"/>
      <color theme="0"/>
      <name val="Arial"/>
      <family val="2"/>
    </font>
    <font>
      <b/>
      <sz val="11"/>
      <name val="Courier New"/>
      <family val="3"/>
    </font>
    <font>
      <sz val="11"/>
      <name val="Courier New"/>
      <family val="3"/>
    </font>
    <font>
      <sz val="14"/>
      <name val="Arial"/>
      <family val="2"/>
    </font>
    <font>
      <sz val="10"/>
      <name val="Courier New"/>
      <family val="3"/>
    </font>
    <font>
      <sz val="10"/>
      <color theme="1"/>
      <name val="Calibri"/>
      <family val="2"/>
      <scheme val="minor"/>
    </font>
    <font>
      <b/>
      <sz val="10"/>
      <color theme="1"/>
      <name val="BMW Group Condensed"/>
      <family val="2"/>
    </font>
    <font>
      <sz val="10"/>
      <color theme="1"/>
      <name val="BMW Group Condensed"/>
      <family val="2"/>
    </font>
    <font>
      <b/>
      <sz val="12"/>
      <color theme="1"/>
      <name val="BMW Group Condensed"/>
      <family val="2"/>
    </font>
    <font>
      <b/>
      <sz val="12"/>
      <color rgb="FF000000"/>
      <name val="BMW Group Condensed"/>
      <family val="2"/>
    </font>
    <font>
      <sz val="10"/>
      <color rgb="FF000000"/>
      <name val="BMW Group Condensed"/>
      <family val="2"/>
    </font>
    <font>
      <sz val="9"/>
      <color theme="1"/>
      <name val="BMW Group Condensed"/>
      <family val="2"/>
    </font>
    <font>
      <sz val="11"/>
      <color rgb="FFFF0000"/>
      <name val="Calibri"/>
      <family val="2"/>
      <scheme val="minor"/>
    </font>
    <font>
      <sz val="9"/>
      <color rgb="FFFF0000"/>
      <name val="BMW Group Condensed"/>
      <family val="2"/>
    </font>
    <font>
      <b/>
      <sz val="10"/>
      <color rgb="FFFF0000"/>
      <name val="BMW Group Condensed"/>
      <family val="2"/>
    </font>
    <font>
      <sz val="10"/>
      <color rgb="FFFF0000"/>
      <name val="BMW Group Condensed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/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/>
      <diagonal/>
    </border>
    <border>
      <left style="medium">
        <color indexed="64"/>
      </left>
      <right style="medium">
        <color rgb="FFC0C0C0"/>
      </right>
      <top/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 style="medium">
        <color rgb="FFC0C0C0"/>
      </left>
      <right style="medium">
        <color indexed="64"/>
      </right>
      <top style="medium">
        <color rgb="FFC0C0C0"/>
      </top>
      <bottom/>
      <diagonal/>
    </border>
    <border>
      <left style="medium">
        <color indexed="64"/>
      </left>
      <right style="medium">
        <color indexed="22"/>
      </right>
      <top/>
      <bottom style="medium">
        <color indexed="64"/>
      </bottom>
      <diagonal/>
    </border>
    <border>
      <left style="medium">
        <color indexed="22"/>
      </left>
      <right style="medium">
        <color indexed="22"/>
      </right>
      <top/>
      <bottom style="medium">
        <color indexed="64"/>
      </bottom>
      <diagonal/>
    </border>
    <border>
      <left style="medium">
        <color indexed="22"/>
      </left>
      <right style="medium">
        <color indexed="22"/>
      </right>
      <top style="medium">
        <color rgb="FFC0C0C0"/>
      </top>
      <bottom style="medium">
        <color indexed="64"/>
      </bottom>
      <diagonal/>
    </border>
  </borders>
  <cellStyleXfs count="10">
    <xf numFmtId="0" fontId="0" fillId="0" borderId="0"/>
    <xf numFmtId="0" fontId="4" fillId="0" borderId="0"/>
    <xf numFmtId="0" fontId="5" fillId="0" borderId="0"/>
    <xf numFmtId="0" fontId="3" fillId="0" borderId="0"/>
    <xf numFmtId="0" fontId="5" fillId="0" borderId="0"/>
    <xf numFmtId="0" fontId="18" fillId="0" borderId="0"/>
    <xf numFmtId="0" fontId="2" fillId="0" borderId="0"/>
    <xf numFmtId="0" fontId="29" fillId="9" borderId="0" applyNumberFormat="0" applyBorder="0" applyAlignment="0" applyProtection="0"/>
    <xf numFmtId="0" fontId="30" fillId="10" borderId="0" applyNumberFormat="0" applyBorder="0" applyAlignment="0" applyProtection="0"/>
    <xf numFmtId="0" fontId="1" fillId="0" borderId="0"/>
  </cellStyleXfs>
  <cellXfs count="186">
    <xf numFmtId="0" fontId="0" fillId="0" borderId="0" xfId="0"/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0" fillId="0" borderId="0" xfId="0"/>
    <xf numFmtId="0" fontId="5" fillId="0" borderId="0" xfId="0" applyFont="1"/>
    <xf numFmtId="0" fontId="0" fillId="0" borderId="0" xfId="0" applyFill="1"/>
    <xf numFmtId="0" fontId="9" fillId="0" borderId="0" xfId="0" applyFont="1" applyAlignment="1"/>
    <xf numFmtId="0" fontId="10" fillId="0" borderId="0" xfId="0" applyFont="1" applyAlignment="1">
      <alignment vertical="top"/>
    </xf>
    <xf numFmtId="0" fontId="0" fillId="5" borderId="0" xfId="0" applyFill="1"/>
    <xf numFmtId="0" fontId="5" fillId="4" borderId="0" xfId="0" applyFont="1" applyFill="1" applyBorder="1"/>
    <xf numFmtId="0" fontId="5" fillId="0" borderId="0" xfId="0" applyFont="1" applyFill="1"/>
    <xf numFmtId="0" fontId="0" fillId="3" borderId="0" xfId="0" applyFill="1"/>
    <xf numFmtId="0" fontId="5" fillId="3" borderId="19" xfId="0" applyFont="1" applyFill="1" applyBorder="1"/>
    <xf numFmtId="0" fontId="0" fillId="3" borderId="19" xfId="0" applyFill="1" applyBorder="1" applyAlignment="1">
      <alignment horizontal="left"/>
    </xf>
    <xf numFmtId="0" fontId="8" fillId="0" borderId="0" xfId="0" applyFont="1" applyFill="1"/>
    <xf numFmtId="0" fontId="5" fillId="3" borderId="0" xfId="0" applyFont="1" applyFill="1" applyAlignment="1">
      <alignment horizontal="left"/>
    </xf>
    <xf numFmtId="0" fontId="5" fillId="3" borderId="0" xfId="0" applyFont="1" applyFill="1"/>
    <xf numFmtId="0" fontId="5" fillId="3" borderId="19" xfId="0" applyFont="1" applyFill="1" applyBorder="1" applyAlignment="1"/>
    <xf numFmtId="0" fontId="6" fillId="3" borderId="19" xfId="0" applyFont="1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 applyBorder="1"/>
    <xf numFmtId="0" fontId="0" fillId="4" borderId="24" xfId="0" applyFill="1" applyBorder="1"/>
    <xf numFmtId="0" fontId="6" fillId="4" borderId="0" xfId="0" applyFont="1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49" fontId="7" fillId="6" borderId="1" xfId="0" applyNumberFormat="1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49" fontId="7" fillId="6" borderId="3" xfId="0" applyNumberFormat="1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right" vertical="center"/>
    </xf>
    <xf numFmtId="49" fontId="5" fillId="6" borderId="6" xfId="0" applyNumberFormat="1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vertical="center" wrapText="1"/>
    </xf>
    <xf numFmtId="0" fontId="5" fillId="6" borderId="3" xfId="0" applyFont="1" applyFill="1" applyBorder="1" applyAlignment="1">
      <alignment horizontal="right" vertical="center"/>
    </xf>
    <xf numFmtId="0" fontId="5" fillId="6" borderId="15" xfId="0" applyFont="1" applyFill="1" applyBorder="1" applyAlignment="1">
      <alignment vertical="center" wrapText="1"/>
    </xf>
    <xf numFmtId="49" fontId="5" fillId="6" borderId="6" xfId="0" applyNumberFormat="1" applyFont="1" applyFill="1" applyBorder="1" applyAlignment="1">
      <alignment horizontal="center" vertical="center"/>
    </xf>
    <xf numFmtId="49" fontId="5" fillId="6" borderId="3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right" vertical="center"/>
    </xf>
    <xf numFmtId="49" fontId="5" fillId="0" borderId="8" xfId="0" applyNumberFormat="1" applyFont="1" applyFill="1" applyBorder="1" applyAlignment="1">
      <alignment horizontal="right" vertical="center"/>
    </xf>
    <xf numFmtId="49" fontId="5" fillId="0" borderId="14" xfId="0" applyNumberFormat="1" applyFont="1" applyFill="1" applyBorder="1" applyAlignment="1">
      <alignment vertical="center" wrapText="1"/>
    </xf>
    <xf numFmtId="0" fontId="5" fillId="4" borderId="26" xfId="0" applyFont="1" applyFill="1" applyBorder="1"/>
    <xf numFmtId="0" fontId="12" fillId="0" borderId="0" xfId="0" applyFont="1" applyAlignment="1">
      <alignment vertical="top"/>
    </xf>
    <xf numFmtId="0" fontId="13" fillId="7" borderId="19" xfId="0" applyFont="1" applyFill="1" applyBorder="1" applyAlignment="1">
      <alignment horizontal="center"/>
    </xf>
    <xf numFmtId="0" fontId="5" fillId="0" borderId="0" xfId="0" applyFont="1" applyAlignment="1">
      <alignment horizontal="left" wrapText="1"/>
    </xf>
    <xf numFmtId="0" fontId="0" fillId="0" borderId="19" xfId="0" applyBorder="1"/>
    <xf numFmtId="49" fontId="5" fillId="0" borderId="19" xfId="0" applyNumberFormat="1" applyFont="1" applyBorder="1"/>
    <xf numFmtId="0" fontId="6" fillId="4" borderId="19" xfId="0" applyFont="1" applyFill="1" applyBorder="1"/>
    <xf numFmtId="0" fontId="5" fillId="0" borderId="0" xfId="0" applyFont="1" applyAlignment="1">
      <alignment horizontal="left"/>
    </xf>
    <xf numFmtId="0" fontId="5" fillId="0" borderId="0" xfId="0" applyFont="1" applyAlignment="1"/>
    <xf numFmtId="0" fontId="5" fillId="4" borderId="21" xfId="0" applyFont="1" applyFill="1" applyBorder="1"/>
    <xf numFmtId="49" fontId="5" fillId="0" borderId="19" xfId="0" applyNumberFormat="1" applyFont="1" applyBorder="1" applyAlignment="1"/>
    <xf numFmtId="0" fontId="0" fillId="0" borderId="19" xfId="0" applyBorder="1" applyAlignment="1"/>
    <xf numFmtId="0" fontId="0" fillId="0" borderId="0" xfId="0" applyAlignment="1"/>
    <xf numFmtId="0" fontId="5" fillId="4" borderId="0" xfId="0" applyFont="1" applyFill="1" applyBorder="1" applyAlignment="1">
      <alignment vertical="top"/>
    </xf>
    <xf numFmtId="0" fontId="0" fillId="4" borderId="0" xfId="0" applyFill="1" applyBorder="1" applyAlignment="1">
      <alignment vertical="top"/>
    </xf>
    <xf numFmtId="0" fontId="5" fillId="6" borderId="15" xfId="0" applyFont="1" applyFill="1" applyBorder="1" applyAlignment="1">
      <alignment horizontal="left" vertical="top" wrapText="1"/>
    </xf>
    <xf numFmtId="0" fontId="14" fillId="6" borderId="6" xfId="0" applyNumberFormat="1" applyFont="1" applyFill="1" applyBorder="1" applyAlignment="1">
      <alignment horizontal="right" vertical="center"/>
    </xf>
    <xf numFmtId="49" fontId="15" fillId="6" borderId="6" xfId="0" applyNumberFormat="1" applyFont="1" applyFill="1" applyBorder="1" applyAlignment="1">
      <alignment horizontal="right" vertical="center"/>
    </xf>
    <xf numFmtId="49" fontId="15" fillId="6" borderId="6" xfId="0" applyNumberFormat="1" applyFont="1" applyFill="1" applyBorder="1" applyAlignment="1">
      <alignment horizontal="right" vertical="center" wrapText="1"/>
    </xf>
    <xf numFmtId="49" fontId="15" fillId="0" borderId="8" xfId="0" applyNumberFormat="1" applyFont="1" applyFill="1" applyBorder="1" applyAlignment="1">
      <alignment horizontal="right" vertical="center"/>
    </xf>
    <xf numFmtId="0" fontId="16" fillId="0" borderId="0" xfId="0" applyFont="1"/>
    <xf numFmtId="0" fontId="5" fillId="4" borderId="23" xfId="0" applyFont="1" applyFill="1" applyBorder="1"/>
    <xf numFmtId="0" fontId="20" fillId="0" borderId="19" xfId="6" applyFont="1" applyBorder="1" applyAlignment="1">
      <alignment vertical="top" wrapText="1"/>
    </xf>
    <xf numFmtId="0" fontId="2" fillId="0" borderId="0" xfId="6" applyBorder="1"/>
    <xf numFmtId="0" fontId="2" fillId="0" borderId="0" xfId="6"/>
    <xf numFmtId="0" fontId="23" fillId="0" borderId="19" xfId="6" applyFont="1" applyBorder="1" applyAlignment="1">
      <alignment horizontal="left" vertical="center" wrapText="1" readingOrder="1"/>
    </xf>
    <xf numFmtId="0" fontId="19" fillId="8" borderId="19" xfId="6" applyFont="1" applyFill="1" applyBorder="1" applyAlignment="1">
      <alignment wrapText="1"/>
    </xf>
    <xf numFmtId="0" fontId="19" fillId="8" borderId="19" xfId="6" applyFont="1" applyFill="1" applyBorder="1"/>
    <xf numFmtId="0" fontId="24" fillId="0" borderId="19" xfId="6" applyFont="1" applyBorder="1" applyAlignment="1">
      <alignment vertical="top" wrapText="1"/>
    </xf>
    <xf numFmtId="14" fontId="24" fillId="0" borderId="19" xfId="6" applyNumberFormat="1" applyFont="1" applyBorder="1" applyAlignment="1">
      <alignment vertical="top" wrapText="1"/>
    </xf>
    <xf numFmtId="0" fontId="24" fillId="0" borderId="19" xfId="6" applyFont="1" applyBorder="1" applyAlignment="1">
      <alignment wrapText="1"/>
    </xf>
    <xf numFmtId="0" fontId="2" fillId="0" borderId="0" xfId="6" applyAlignment="1">
      <alignment wrapText="1"/>
    </xf>
    <xf numFmtId="49" fontId="24" fillId="0" borderId="19" xfId="6" applyNumberFormat="1" applyFont="1" applyBorder="1" applyAlignment="1">
      <alignment vertical="top"/>
    </xf>
    <xf numFmtId="49" fontId="24" fillId="0" borderId="19" xfId="6" applyNumberFormat="1" applyFont="1" applyBorder="1"/>
    <xf numFmtId="49" fontId="26" fillId="0" borderId="19" xfId="6" applyNumberFormat="1" applyFont="1" applyBorder="1" applyAlignment="1">
      <alignment vertical="top"/>
    </xf>
    <xf numFmtId="0" fontId="26" fillId="0" borderId="19" xfId="6" applyFont="1" applyBorder="1" applyAlignment="1">
      <alignment vertical="top" wrapText="1"/>
    </xf>
    <xf numFmtId="0" fontId="27" fillId="0" borderId="19" xfId="6" applyFont="1" applyFill="1" applyBorder="1" applyAlignment="1">
      <alignment wrapText="1"/>
    </xf>
    <xf numFmtId="0" fontId="25" fillId="0" borderId="0" xfId="6" applyFont="1" applyFill="1" applyBorder="1"/>
    <xf numFmtId="0" fontId="25" fillId="0" borderId="0" xfId="6" applyFont="1" applyFill="1"/>
    <xf numFmtId="0" fontId="28" fillId="0" borderId="19" xfId="6" applyFont="1" applyBorder="1" applyAlignment="1">
      <alignment vertical="top" wrapText="1"/>
    </xf>
    <xf numFmtId="0" fontId="5" fillId="4" borderId="21" xfId="0" applyFont="1" applyFill="1" applyBorder="1" applyAlignment="1">
      <alignment horizontal="left"/>
    </xf>
    <xf numFmtId="0" fontId="11" fillId="0" borderId="0" xfId="0" applyFont="1" applyAlignment="1">
      <alignment horizontal="left" vertical="center" wrapText="1"/>
    </xf>
    <xf numFmtId="0" fontId="8" fillId="3" borderId="16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 wrapText="1"/>
    </xf>
    <xf numFmtId="0" fontId="8" fillId="3" borderId="18" xfId="0" applyFont="1" applyFill="1" applyBorder="1" applyAlignment="1">
      <alignment horizontal="center" wrapText="1"/>
    </xf>
    <xf numFmtId="0" fontId="13" fillId="7" borderId="16" xfId="0" applyFont="1" applyFill="1" applyBorder="1" applyAlignment="1">
      <alignment horizontal="center"/>
    </xf>
    <xf numFmtId="0" fontId="13" fillId="7" borderId="18" xfId="0" applyFont="1" applyFill="1" applyBorder="1" applyAlignment="1">
      <alignment horizontal="center"/>
    </xf>
    <xf numFmtId="0" fontId="5" fillId="3" borderId="16" xfId="0" applyFont="1" applyFill="1" applyBorder="1" applyAlignment="1"/>
    <xf numFmtId="0" fontId="0" fillId="3" borderId="18" xfId="0" applyFill="1" applyBorder="1" applyAlignment="1"/>
    <xf numFmtId="0" fontId="5" fillId="3" borderId="16" xfId="0" applyFont="1" applyFill="1" applyBorder="1" applyAlignment="1">
      <alignment horizontal="left" wrapText="1"/>
    </xf>
    <xf numFmtId="0" fontId="0" fillId="3" borderId="17" xfId="0" applyFill="1" applyBorder="1" applyAlignment="1">
      <alignment horizontal="left" wrapText="1"/>
    </xf>
    <xf numFmtId="0" fontId="0" fillId="3" borderId="18" xfId="0" applyFill="1" applyBorder="1" applyAlignment="1">
      <alignment horizontal="left" wrapText="1"/>
    </xf>
    <xf numFmtId="14" fontId="0" fillId="3" borderId="16" xfId="0" applyNumberFormat="1" applyFill="1" applyBorder="1" applyAlignment="1">
      <alignment horizontal="left"/>
    </xf>
    <xf numFmtId="14" fontId="0" fillId="3" borderId="18" xfId="0" applyNumberFormat="1" applyFill="1" applyBorder="1" applyAlignment="1">
      <alignment horizontal="left"/>
    </xf>
    <xf numFmtId="0" fontId="5" fillId="3" borderId="16" xfId="0" applyFont="1" applyFill="1" applyBorder="1" applyAlignment="1">
      <alignment wrapText="1"/>
    </xf>
    <xf numFmtId="0" fontId="0" fillId="3" borderId="17" xfId="0" applyFill="1" applyBorder="1" applyAlignment="1">
      <alignment wrapText="1"/>
    </xf>
    <xf numFmtId="0" fontId="0" fillId="3" borderId="18" xfId="0" applyFill="1" applyBorder="1" applyAlignment="1">
      <alignment wrapText="1"/>
    </xf>
    <xf numFmtId="0" fontId="0" fillId="3" borderId="17" xfId="0" applyFill="1" applyBorder="1" applyAlignment="1"/>
    <xf numFmtId="0" fontId="5" fillId="0" borderId="19" xfId="0" applyFont="1" applyBorder="1" applyAlignment="1">
      <alignment horizontal="center"/>
    </xf>
    <xf numFmtId="0" fontId="6" fillId="4" borderId="19" xfId="0" applyFont="1" applyFill="1" applyBorder="1" applyAlignment="1">
      <alignment horizontal="left"/>
    </xf>
    <xf numFmtId="0" fontId="6" fillId="4" borderId="19" xfId="0" applyFont="1" applyFill="1" applyBorder="1" applyAlignment="1">
      <alignment horizontal="center"/>
    </xf>
    <xf numFmtId="0" fontId="5" fillId="0" borderId="19" xfId="0" applyFont="1" applyBorder="1" applyAlignment="1">
      <alignment horizontal="left"/>
    </xf>
    <xf numFmtId="0" fontId="5" fillId="0" borderId="19" xfId="0" applyFont="1" applyBorder="1" applyAlignment="1"/>
    <xf numFmtId="14" fontId="8" fillId="0" borderId="28" xfId="0" applyNumberFormat="1" applyFont="1" applyFill="1" applyBorder="1" applyAlignment="1">
      <alignment horizontal="center"/>
    </xf>
    <xf numFmtId="14" fontId="8" fillId="0" borderId="29" xfId="0" applyNumberFormat="1" applyFont="1" applyFill="1" applyBorder="1" applyAlignment="1">
      <alignment horizontal="center"/>
    </xf>
    <xf numFmtId="14" fontId="8" fillId="0" borderId="30" xfId="0" applyNumberFormat="1" applyFont="1" applyFill="1" applyBorder="1" applyAlignment="1">
      <alignment horizontal="center"/>
    </xf>
    <xf numFmtId="0" fontId="5" fillId="3" borderId="16" xfId="0" applyFont="1" applyFill="1" applyBorder="1" applyAlignment="1">
      <alignment horizontal="left" vertical="top" wrapText="1"/>
    </xf>
    <xf numFmtId="0" fontId="0" fillId="3" borderId="17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6" fillId="3" borderId="16" xfId="0" applyFont="1" applyFill="1" applyBorder="1" applyAlignment="1">
      <alignment horizontal="left"/>
    </xf>
    <xf numFmtId="0" fontId="6" fillId="3" borderId="17" xfId="0" applyFont="1" applyFill="1" applyBorder="1" applyAlignment="1">
      <alignment horizontal="left"/>
    </xf>
    <xf numFmtId="0" fontId="6" fillId="3" borderId="18" xfId="0" applyFont="1" applyFill="1" applyBorder="1" applyAlignment="1">
      <alignment horizontal="left"/>
    </xf>
    <xf numFmtId="0" fontId="5" fillId="3" borderId="16" xfId="0" applyFont="1" applyFill="1" applyBorder="1" applyAlignment="1">
      <alignment horizontal="left"/>
    </xf>
    <xf numFmtId="0" fontId="5" fillId="3" borderId="17" xfId="0" applyFont="1" applyFill="1" applyBorder="1" applyAlignment="1">
      <alignment horizontal="left"/>
    </xf>
    <xf numFmtId="0" fontId="5" fillId="3" borderId="18" xfId="0" applyFont="1" applyFill="1" applyBorder="1" applyAlignment="1">
      <alignment horizontal="left"/>
    </xf>
    <xf numFmtId="0" fontId="5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19" fillId="0" borderId="19" xfId="6" applyFont="1" applyFill="1" applyBorder="1" applyAlignment="1">
      <alignment horizontal="center" vertical="center" wrapText="1"/>
    </xf>
    <xf numFmtId="0" fontId="20" fillId="0" borderId="19" xfId="6" applyFont="1" applyBorder="1" applyAlignment="1">
      <alignment horizontal="center"/>
    </xf>
    <xf numFmtId="0" fontId="19" fillId="8" borderId="19" xfId="6" applyFont="1" applyFill="1" applyBorder="1" applyAlignment="1">
      <alignment horizontal="left"/>
    </xf>
    <xf numFmtId="0" fontId="19" fillId="8" borderId="19" xfId="6" applyFont="1" applyFill="1" applyBorder="1" applyAlignment="1">
      <alignment horizontal="center" vertical="center" wrapText="1"/>
    </xf>
    <xf numFmtId="0" fontId="20" fillId="0" borderId="19" xfId="6" applyFont="1" applyBorder="1" applyAlignment="1">
      <alignment horizontal="left" vertical="top" wrapText="1"/>
    </xf>
    <xf numFmtId="0" fontId="21" fillId="0" borderId="19" xfId="6" applyFont="1" applyBorder="1" applyAlignment="1">
      <alignment horizontal="left" vertical="top" wrapText="1"/>
    </xf>
    <xf numFmtId="0" fontId="22" fillId="0" borderId="19" xfId="6" applyFont="1" applyBorder="1" applyAlignment="1">
      <alignment horizontal="right" vertical="center" wrapText="1" readingOrder="1"/>
    </xf>
    <xf numFmtId="0" fontId="5" fillId="0" borderId="0" xfId="0" applyFont="1" applyAlignment="1">
      <alignment horizontal="left" wrapText="1"/>
    </xf>
    <xf numFmtId="0" fontId="1" fillId="0" borderId="23" xfId="9" applyBorder="1"/>
    <xf numFmtId="0" fontId="1" fillId="0" borderId="0" xfId="9" applyBorder="1"/>
    <xf numFmtId="0" fontId="1" fillId="0" borderId="24" xfId="9" applyBorder="1"/>
    <xf numFmtId="0" fontId="1" fillId="0" borderId="0" xfId="9"/>
    <xf numFmtId="0" fontId="1" fillId="0" borderId="32" xfId="9" applyBorder="1"/>
    <xf numFmtId="0" fontId="1" fillId="0" borderId="33" xfId="9" applyBorder="1"/>
    <xf numFmtId="0" fontId="1" fillId="0" borderId="34" xfId="9" applyBorder="1"/>
    <xf numFmtId="0" fontId="5" fillId="0" borderId="23" xfId="9" applyFont="1" applyBorder="1" applyAlignment="1"/>
    <xf numFmtId="0" fontId="5" fillId="0" borderId="0" xfId="9" applyFont="1" applyBorder="1" applyAlignment="1"/>
    <xf numFmtId="0" fontId="5" fillId="0" borderId="24" xfId="9" applyFont="1" applyBorder="1" applyAlignment="1"/>
    <xf numFmtId="0" fontId="5" fillId="0" borderId="23" xfId="9" applyFont="1" applyBorder="1" applyAlignment="1">
      <alignment horizontal="left"/>
    </xf>
    <xf numFmtId="0" fontId="5" fillId="0" borderId="0" xfId="9" applyFont="1" applyBorder="1" applyAlignment="1">
      <alignment horizontal="left" wrapText="1"/>
    </xf>
    <xf numFmtId="0" fontId="5" fillId="0" borderId="24" xfId="9" applyFont="1" applyBorder="1" applyAlignment="1">
      <alignment horizontal="left" wrapText="1"/>
    </xf>
    <xf numFmtId="0" fontId="8" fillId="2" borderId="10" xfId="9" applyFont="1" applyFill="1" applyBorder="1" applyAlignment="1">
      <alignment horizontal="center" vertical="center" wrapText="1"/>
    </xf>
    <xf numFmtId="0" fontId="8" fillId="2" borderId="11" xfId="9" applyFont="1" applyFill="1" applyBorder="1" applyAlignment="1">
      <alignment horizontal="center" vertical="center" wrapText="1"/>
    </xf>
    <xf numFmtId="0" fontId="8" fillId="2" borderId="12" xfId="9" applyFont="1" applyFill="1" applyBorder="1" applyAlignment="1">
      <alignment horizontal="center" vertical="center" wrapText="1"/>
    </xf>
    <xf numFmtId="49" fontId="31" fillId="6" borderId="1" xfId="9" applyNumberFormat="1" applyFont="1" applyFill="1" applyBorder="1" applyAlignment="1">
      <alignment horizontal="center" vertical="center"/>
    </xf>
    <xf numFmtId="0" fontId="31" fillId="6" borderId="2" xfId="9" applyFont="1" applyFill="1" applyBorder="1" applyAlignment="1">
      <alignment horizontal="center" vertical="center"/>
    </xf>
    <xf numFmtId="0" fontId="31" fillId="6" borderId="1" xfId="9" applyFont="1" applyFill="1" applyBorder="1" applyAlignment="1">
      <alignment horizontal="right" vertical="center"/>
    </xf>
    <xf numFmtId="0" fontId="32" fillId="0" borderId="6" xfId="9" applyNumberFormat="1" applyFont="1" applyFill="1" applyBorder="1" applyAlignment="1">
      <alignment horizontal="right" vertical="center"/>
    </xf>
    <xf numFmtId="49" fontId="31" fillId="6" borderId="6" xfId="9" applyNumberFormat="1" applyFont="1" applyFill="1" applyBorder="1" applyAlignment="1">
      <alignment horizontal="center" vertical="center" wrapText="1"/>
    </xf>
    <xf numFmtId="0" fontId="31" fillId="6" borderId="15" xfId="9" applyFont="1" applyFill="1" applyBorder="1" applyAlignment="1">
      <alignment vertical="center" wrapText="1"/>
    </xf>
    <xf numFmtId="0" fontId="29" fillId="0" borderId="0" xfId="7" applyFill="1"/>
    <xf numFmtId="49" fontId="31" fillId="6" borderId="3" xfId="9" applyNumberFormat="1" applyFont="1" applyFill="1" applyBorder="1" applyAlignment="1">
      <alignment horizontal="center" vertical="center"/>
    </xf>
    <xf numFmtId="0" fontId="31" fillId="6" borderId="4" xfId="9" applyFont="1" applyFill="1" applyBorder="1" applyAlignment="1">
      <alignment horizontal="center" vertical="center"/>
    </xf>
    <xf numFmtId="0" fontId="31" fillId="6" borderId="3" xfId="9" applyFont="1" applyFill="1" applyBorder="1" applyAlignment="1">
      <alignment horizontal="right" vertical="center"/>
    </xf>
    <xf numFmtId="49" fontId="31" fillId="6" borderId="6" xfId="9" applyNumberFormat="1" applyFont="1" applyFill="1" applyBorder="1" applyAlignment="1">
      <alignment horizontal="right" vertical="center"/>
    </xf>
    <xf numFmtId="0" fontId="31" fillId="6" borderId="15" xfId="9" applyFont="1" applyFill="1" applyBorder="1" applyAlignment="1">
      <alignment horizontal="left" vertical="center" wrapText="1"/>
    </xf>
    <xf numFmtId="0" fontId="5" fillId="6" borderId="3" xfId="9" applyFont="1" applyFill="1" applyBorder="1" applyAlignment="1">
      <alignment horizontal="right" vertical="center"/>
    </xf>
    <xf numFmtId="49" fontId="15" fillId="6" borderId="6" xfId="9" applyNumberFormat="1" applyFont="1" applyFill="1" applyBorder="1" applyAlignment="1">
      <alignment horizontal="right" vertical="center" wrapText="1"/>
    </xf>
    <xf numFmtId="0" fontId="31" fillId="6" borderId="15" xfId="9" applyFont="1" applyFill="1" applyBorder="1" applyAlignment="1">
      <alignment horizontal="left" vertical="top" wrapText="1"/>
    </xf>
    <xf numFmtId="0" fontId="29" fillId="0" borderId="31" xfId="7" applyFill="1" applyBorder="1"/>
    <xf numFmtId="49" fontId="31" fillId="0" borderId="35" xfId="9" applyNumberFormat="1" applyFont="1" applyFill="1" applyBorder="1" applyAlignment="1">
      <alignment horizontal="center" vertical="center"/>
    </xf>
    <xf numFmtId="0" fontId="31" fillId="0" borderId="36" xfId="9" applyFont="1" applyFill="1" applyBorder="1" applyAlignment="1">
      <alignment horizontal="center" vertical="center"/>
    </xf>
    <xf numFmtId="49" fontId="31" fillId="0" borderId="6" xfId="9" applyNumberFormat="1" applyFont="1" applyFill="1" applyBorder="1" applyAlignment="1">
      <alignment horizontal="center" vertical="center" wrapText="1"/>
    </xf>
    <xf numFmtId="0" fontId="31" fillId="0" borderId="15" xfId="9" applyFont="1" applyFill="1" applyBorder="1" applyAlignment="1">
      <alignment horizontal="left" vertical="center" wrapText="1"/>
    </xf>
    <xf numFmtId="0" fontId="30" fillId="0" borderId="0" xfId="8" applyFill="1"/>
    <xf numFmtId="49" fontId="31" fillId="0" borderId="3" xfId="9" applyNumberFormat="1" applyFont="1" applyFill="1" applyBorder="1" applyAlignment="1">
      <alignment horizontal="center" vertical="center"/>
    </xf>
    <xf numFmtId="0" fontId="31" fillId="0" borderId="4" xfId="9" applyFont="1" applyFill="1" applyBorder="1" applyAlignment="1">
      <alignment horizontal="center" vertical="center"/>
    </xf>
    <xf numFmtId="0" fontId="31" fillId="0" borderId="37" xfId="9" applyFont="1" applyFill="1" applyBorder="1" applyAlignment="1">
      <alignment horizontal="right" vertical="center"/>
    </xf>
    <xf numFmtId="49" fontId="34" fillId="0" borderId="38" xfId="9" applyNumberFormat="1" applyFont="1" applyFill="1" applyBorder="1" applyAlignment="1">
      <alignment horizontal="right" vertical="center"/>
    </xf>
    <xf numFmtId="0" fontId="31" fillId="0" borderId="39" xfId="9" applyFont="1" applyFill="1" applyBorder="1" applyAlignment="1">
      <alignment horizontal="left" vertical="center" wrapText="1"/>
    </xf>
    <xf numFmtId="49" fontId="33" fillId="0" borderId="40" xfId="9" applyNumberFormat="1" applyFont="1" applyFill="1" applyBorder="1" applyAlignment="1">
      <alignment horizontal="center" vertical="center"/>
    </xf>
    <xf numFmtId="0" fontId="31" fillId="0" borderId="41" xfId="9" applyFont="1" applyFill="1" applyBorder="1" applyAlignment="1">
      <alignment horizontal="center" vertical="center"/>
    </xf>
    <xf numFmtId="0" fontId="31" fillId="0" borderId="40" xfId="9" applyFont="1" applyFill="1" applyBorder="1" applyAlignment="1">
      <alignment horizontal="right" vertical="center"/>
    </xf>
    <xf numFmtId="49" fontId="31" fillId="0" borderId="42" xfId="9" applyNumberFormat="1" applyFont="1" applyFill="1" applyBorder="1" applyAlignment="1">
      <alignment horizontal="right" vertical="center"/>
    </xf>
    <xf numFmtId="49" fontId="31" fillId="0" borderId="8" xfId="9" applyNumberFormat="1" applyFont="1" applyFill="1" applyBorder="1" applyAlignment="1">
      <alignment horizontal="center" vertical="center" wrapText="1"/>
    </xf>
    <xf numFmtId="0" fontId="31" fillId="0" borderId="14" xfId="9" applyFont="1" applyFill="1" applyBorder="1" applyAlignment="1">
      <alignment horizontal="left" vertical="center" wrapText="1"/>
    </xf>
    <xf numFmtId="0" fontId="1" fillId="0" borderId="0" xfId="9" applyFill="1"/>
    <xf numFmtId="0" fontId="9" fillId="0" borderId="23" xfId="9" applyFont="1" applyFill="1" applyBorder="1" applyAlignment="1"/>
    <xf numFmtId="0" fontId="1" fillId="0" borderId="0" xfId="9" applyFill="1" applyBorder="1"/>
    <xf numFmtId="0" fontId="1" fillId="0" borderId="24" xfId="9" applyFill="1" applyBorder="1"/>
  </cellXfs>
  <cellStyles count="10">
    <cellStyle name="Gut" xfId="7" builtinId="26"/>
    <cellStyle name="Neutral" xfId="8" builtinId="28"/>
    <cellStyle name="Normal 2" xfId="4"/>
    <cellStyle name="Standard" xfId="0" builtinId="0"/>
    <cellStyle name="Standard 2" xfId="1"/>
    <cellStyle name="Standard 2 2" xfId="3"/>
    <cellStyle name="Standard 2 2 2" xfId="6"/>
    <cellStyle name="Standard 3" xfId="2"/>
    <cellStyle name="Standard 4" xfId="5"/>
    <cellStyle name="Standard 5" xfId="9"/>
  </cellStyles>
  <dxfs count="0"/>
  <tableStyles count="0" defaultTableStyle="TableStyleMedium9" defaultPivotStyle="PivotStyleLight16"/>
  <colors>
    <mruColors>
      <color rgb="FFA8CAF4"/>
      <color rgb="FFFFCC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62</xdr:row>
      <xdr:rowOff>171450</xdr:rowOff>
    </xdr:from>
    <xdr:to>
      <xdr:col>2</xdr:col>
      <xdr:colOff>66675</xdr:colOff>
      <xdr:row>63</xdr:row>
      <xdr:rowOff>171450</xdr:rowOff>
    </xdr:to>
    <xdr:sp macro="" textlink="">
      <xdr:nvSpPr>
        <xdr:cNvPr id="90" name="Rechteck 89"/>
        <xdr:cNvSpPr/>
      </xdr:nvSpPr>
      <xdr:spPr>
        <a:xfrm>
          <a:off x="514350" y="10801350"/>
          <a:ext cx="5810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3</xdr:col>
      <xdr:colOff>466725</xdr:colOff>
      <xdr:row>62</xdr:row>
      <xdr:rowOff>161925</xdr:rowOff>
    </xdr:from>
    <xdr:to>
      <xdr:col>5</xdr:col>
      <xdr:colOff>391583</xdr:colOff>
      <xdr:row>63</xdr:row>
      <xdr:rowOff>137583</xdr:rowOff>
    </xdr:to>
    <xdr:sp macro="" textlink="">
      <xdr:nvSpPr>
        <xdr:cNvPr id="91" name="Rechteck 90"/>
        <xdr:cNvSpPr/>
      </xdr:nvSpPr>
      <xdr:spPr>
        <a:xfrm>
          <a:off x="2255308" y="13729758"/>
          <a:ext cx="665692" cy="21907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PEG-PC</a:t>
          </a:r>
        </a:p>
      </xdr:txBody>
    </xdr:sp>
    <xdr:clientData/>
  </xdr:twoCellAnchor>
  <xdr:twoCellAnchor>
    <xdr:from>
      <xdr:col>2</xdr:col>
      <xdr:colOff>236764</xdr:colOff>
      <xdr:row>62</xdr:row>
      <xdr:rowOff>7685</xdr:rowOff>
    </xdr:from>
    <xdr:to>
      <xdr:col>3</xdr:col>
      <xdr:colOff>265339</xdr:colOff>
      <xdr:row>63</xdr:row>
      <xdr:rowOff>3762</xdr:rowOff>
    </xdr:to>
    <xdr:sp macro="" textlink="">
      <xdr:nvSpPr>
        <xdr:cNvPr id="92" name="Rechteck 91"/>
        <xdr:cNvSpPr/>
      </xdr:nvSpPr>
      <xdr:spPr>
        <a:xfrm>
          <a:off x="1267705" y="9510273"/>
          <a:ext cx="790575" cy="24260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000">
              <a:solidFill>
                <a:schemeClr val="tx1"/>
              </a:solidFill>
            </a:rPr>
            <a:t>SPSDATEN</a:t>
          </a:r>
        </a:p>
      </xdr:txBody>
    </xdr:sp>
    <xdr:clientData/>
  </xdr:twoCellAnchor>
  <xdr:twoCellAnchor>
    <xdr:from>
      <xdr:col>2</xdr:col>
      <xdr:colOff>104775</xdr:colOff>
      <xdr:row>63</xdr:row>
      <xdr:rowOff>54850</xdr:rowOff>
    </xdr:from>
    <xdr:to>
      <xdr:col>3</xdr:col>
      <xdr:colOff>428625</xdr:colOff>
      <xdr:row>63</xdr:row>
      <xdr:rowOff>54850</xdr:rowOff>
    </xdr:to>
    <xdr:cxnSp macro="">
      <xdr:nvCxnSpPr>
        <xdr:cNvPr id="96" name="Gerade Verbindung mit Pfeil 95"/>
        <xdr:cNvCxnSpPr/>
      </xdr:nvCxnSpPr>
      <xdr:spPr>
        <a:xfrm flipH="1">
          <a:off x="1135716" y="9803968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75171</xdr:colOff>
      <xdr:row>62</xdr:row>
      <xdr:rowOff>170868</xdr:rowOff>
    </xdr:from>
    <xdr:to>
      <xdr:col>7</xdr:col>
      <xdr:colOff>656196</xdr:colOff>
      <xdr:row>63</xdr:row>
      <xdr:rowOff>170867</xdr:rowOff>
    </xdr:to>
    <xdr:sp macro="" textlink="">
      <xdr:nvSpPr>
        <xdr:cNvPr id="103" name="Rechteck 102"/>
        <xdr:cNvSpPr/>
      </xdr:nvSpPr>
      <xdr:spPr>
        <a:xfrm>
          <a:off x="4130816" y="10924092"/>
          <a:ext cx="581025" cy="245643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10</xdr:col>
      <xdr:colOff>140380</xdr:colOff>
      <xdr:row>62</xdr:row>
      <xdr:rowOff>161343</xdr:rowOff>
    </xdr:from>
    <xdr:to>
      <xdr:col>11</xdr:col>
      <xdr:colOff>63500</xdr:colOff>
      <xdr:row>63</xdr:row>
      <xdr:rowOff>190500</xdr:rowOff>
    </xdr:to>
    <xdr:sp macro="" textlink="">
      <xdr:nvSpPr>
        <xdr:cNvPr id="104" name="Rechteck 103"/>
        <xdr:cNvSpPr/>
      </xdr:nvSpPr>
      <xdr:spPr>
        <a:xfrm>
          <a:off x="6088213" y="13729176"/>
          <a:ext cx="685120" cy="272574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PEG-PC</a:t>
          </a:r>
          <a:endParaRPr lang="de-DE"/>
        </a:p>
      </xdr:txBody>
    </xdr:sp>
    <xdr:clientData/>
  </xdr:twoCellAnchor>
  <xdr:twoCellAnchor>
    <xdr:from>
      <xdr:col>8</xdr:col>
      <xdr:colOff>64285</xdr:colOff>
      <xdr:row>61</xdr:row>
      <xdr:rowOff>152778</xdr:rowOff>
    </xdr:from>
    <xdr:to>
      <xdr:col>9</xdr:col>
      <xdr:colOff>704466</xdr:colOff>
      <xdr:row>62</xdr:row>
      <xdr:rowOff>238503</xdr:rowOff>
    </xdr:to>
    <xdr:sp macro="" textlink="">
      <xdr:nvSpPr>
        <xdr:cNvPr id="105" name="Rechteck 104"/>
        <xdr:cNvSpPr/>
      </xdr:nvSpPr>
      <xdr:spPr>
        <a:xfrm>
          <a:off x="4894020" y="9498484"/>
          <a:ext cx="797064" cy="24260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SPSDELET</a:t>
          </a:r>
        </a:p>
      </xdr:txBody>
    </xdr:sp>
    <xdr:clientData/>
  </xdr:twoCellAnchor>
  <xdr:twoCellAnchor>
    <xdr:from>
      <xdr:col>7</xdr:col>
      <xdr:colOff>694296</xdr:colOff>
      <xdr:row>63</xdr:row>
      <xdr:rowOff>43061</xdr:rowOff>
    </xdr:from>
    <xdr:to>
      <xdr:col>10</xdr:col>
      <xdr:colOff>102280</xdr:colOff>
      <xdr:row>63</xdr:row>
      <xdr:rowOff>43061</xdr:rowOff>
    </xdr:to>
    <xdr:cxnSp macro="">
      <xdr:nvCxnSpPr>
        <xdr:cNvPr id="108" name="Gerade Verbindung mit Pfeil 107"/>
        <xdr:cNvCxnSpPr/>
      </xdr:nvCxnSpPr>
      <xdr:spPr>
        <a:xfrm flipH="1">
          <a:off x="4762031" y="9792179"/>
          <a:ext cx="1088867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67392</xdr:colOff>
      <xdr:row>66</xdr:row>
      <xdr:rowOff>226897</xdr:rowOff>
    </xdr:from>
    <xdr:to>
      <xdr:col>7</xdr:col>
      <xdr:colOff>648417</xdr:colOff>
      <xdr:row>67</xdr:row>
      <xdr:rowOff>226896</xdr:rowOff>
    </xdr:to>
    <xdr:sp macro="" textlink="">
      <xdr:nvSpPr>
        <xdr:cNvPr id="15" name="Rechteck 14"/>
        <xdr:cNvSpPr/>
      </xdr:nvSpPr>
      <xdr:spPr>
        <a:xfrm>
          <a:off x="4126507" y="10799647"/>
          <a:ext cx="581025" cy="249114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10</xdr:col>
      <xdr:colOff>132601</xdr:colOff>
      <xdr:row>66</xdr:row>
      <xdr:rowOff>217371</xdr:rowOff>
    </xdr:from>
    <xdr:to>
      <xdr:col>11</xdr:col>
      <xdr:colOff>84667</xdr:colOff>
      <xdr:row>67</xdr:row>
      <xdr:rowOff>222249</xdr:rowOff>
    </xdr:to>
    <xdr:sp macro="" textlink="">
      <xdr:nvSpPr>
        <xdr:cNvPr id="16" name="Rechteck 15"/>
        <xdr:cNvSpPr/>
      </xdr:nvSpPr>
      <xdr:spPr>
        <a:xfrm>
          <a:off x="6080434" y="14727121"/>
          <a:ext cx="714066" cy="24829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PEG-PC</a:t>
          </a:r>
          <a:endParaRPr lang="de-DE"/>
        </a:p>
      </xdr:txBody>
    </xdr:sp>
    <xdr:clientData/>
  </xdr:twoCellAnchor>
  <xdr:twoCellAnchor>
    <xdr:from>
      <xdr:col>8</xdr:col>
      <xdr:colOff>56506</xdr:colOff>
      <xdr:row>66</xdr:row>
      <xdr:rowOff>51925</xdr:rowOff>
    </xdr:from>
    <xdr:to>
      <xdr:col>9</xdr:col>
      <xdr:colOff>696687</xdr:colOff>
      <xdr:row>67</xdr:row>
      <xdr:rowOff>48002</xdr:rowOff>
    </xdr:to>
    <xdr:sp macro="" textlink="">
      <xdr:nvSpPr>
        <xdr:cNvPr id="17" name="Rechteck 16"/>
        <xdr:cNvSpPr/>
      </xdr:nvSpPr>
      <xdr:spPr>
        <a:xfrm>
          <a:off x="4877621" y="10624675"/>
          <a:ext cx="794047" cy="24519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SPSFRGIO</a:t>
          </a:r>
        </a:p>
      </xdr:txBody>
    </xdr:sp>
    <xdr:clientData/>
  </xdr:twoCellAnchor>
  <xdr:twoCellAnchor>
    <xdr:from>
      <xdr:col>7</xdr:col>
      <xdr:colOff>686517</xdr:colOff>
      <xdr:row>67</xdr:row>
      <xdr:rowOff>99090</xdr:rowOff>
    </xdr:from>
    <xdr:to>
      <xdr:col>10</xdr:col>
      <xdr:colOff>94501</xdr:colOff>
      <xdr:row>67</xdr:row>
      <xdr:rowOff>99090</xdr:rowOff>
    </xdr:to>
    <xdr:cxnSp macro="">
      <xdr:nvCxnSpPr>
        <xdr:cNvPr id="18" name="Gerade Verbindung mit Pfeil 17"/>
        <xdr:cNvCxnSpPr/>
      </xdr:nvCxnSpPr>
      <xdr:spPr>
        <a:xfrm flipH="1">
          <a:off x="4745632" y="10920955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56028</xdr:colOff>
      <xdr:row>1</xdr:row>
      <xdr:rowOff>33616</xdr:rowOff>
    </xdr:from>
    <xdr:to>
      <xdr:col>1</xdr:col>
      <xdr:colOff>480295</xdr:colOff>
      <xdr:row>1</xdr:row>
      <xdr:rowOff>510591</xdr:rowOff>
    </xdr:to>
    <xdr:pic>
      <xdr:nvPicPr>
        <xdr:cNvPr id="23" name="Picture 1" descr="bmw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24969" y="145675"/>
          <a:ext cx="424267" cy="476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670560</xdr:colOff>
          <xdr:row>59</xdr:row>
          <xdr:rowOff>99060</xdr:rowOff>
        </xdr:from>
        <xdr:to>
          <xdr:col>3</xdr:col>
          <xdr:colOff>441960</xdr:colOff>
          <xdr:row>61</xdr:row>
          <xdr:rowOff>68580</xdr:rowOff>
        </xdr:to>
        <xdr:sp macro="" textlink="">
          <xdr:nvSpPr>
            <xdr:cNvPr id="11273" name="SPSDATE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541020</xdr:colOff>
          <xdr:row>59</xdr:row>
          <xdr:rowOff>137160</xdr:rowOff>
        </xdr:from>
        <xdr:to>
          <xdr:col>10</xdr:col>
          <xdr:colOff>182880</xdr:colOff>
          <xdr:row>61</xdr:row>
          <xdr:rowOff>91440</xdr:rowOff>
        </xdr:to>
        <xdr:sp macro="" textlink="">
          <xdr:nvSpPr>
            <xdr:cNvPr id="11274" name="SPSDELET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65</xdr:row>
          <xdr:rowOff>106680</xdr:rowOff>
        </xdr:from>
        <xdr:to>
          <xdr:col>10</xdr:col>
          <xdr:colOff>175260</xdr:colOff>
          <xdr:row>66</xdr:row>
          <xdr:rowOff>53340</xdr:rowOff>
        </xdr:to>
        <xdr:sp macro="" textlink="">
          <xdr:nvSpPr>
            <xdr:cNvPr id="11276" name="SPSFRGIO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19</xdr:row>
          <xdr:rowOff>121920</xdr:rowOff>
        </xdr:from>
        <xdr:to>
          <xdr:col>6</xdr:col>
          <xdr:colOff>571500</xdr:colOff>
          <xdr:row>21</xdr:row>
          <xdr:rowOff>60960</xdr:rowOff>
        </xdr:to>
        <xdr:sp macro="" textlink="">
          <xdr:nvSpPr>
            <xdr:cNvPr id="11279" name="CP_Communication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20_Gremien\11_FG_EL\41_P_AKZ\Standard\Archiv\Users\q006239\AppData\Local\Microsoft\Windows\Temporary%20Internet%20Files\Content.Outlook\OHIIHR4B\OK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ktionskürzel"/>
      <sheetName val="Funktionskürzel alternativ"/>
      <sheetName val="Daten"/>
    </sheetNames>
    <sheetDataSet>
      <sheetData sheetId="0" refreshError="1"/>
      <sheetData sheetId="1" refreshError="1"/>
      <sheetData sheetId="2" refreshError="1">
        <row r="1">
          <cell r="A1" t="str">
            <v>DE</v>
          </cell>
        </row>
        <row r="2">
          <cell r="A2" t="str">
            <v>--</v>
          </cell>
        </row>
        <row r="3">
          <cell r="A3" t="str">
            <v>--</v>
          </cell>
        </row>
        <row r="4">
          <cell r="A4" t="str">
            <v>Abluft</v>
          </cell>
        </row>
        <row r="5">
          <cell r="A5" t="str">
            <v>Abzugsantrieb</v>
          </cell>
        </row>
        <row r="6">
          <cell r="A6" t="str">
            <v>Abzugsantrieb</v>
          </cell>
        </row>
        <row r="7">
          <cell r="A7" t="str">
            <v>Andockantrieb</v>
          </cell>
        </row>
        <row r="8">
          <cell r="A8" t="str">
            <v>Andockantrieb</v>
          </cell>
        </row>
        <row r="9">
          <cell r="A9" t="str">
            <v>Anlagen-PC</v>
          </cell>
        </row>
        <row r="10">
          <cell r="A10" t="str">
            <v>Anpass-/Antriebs-Schrank bzw. -Kasten, Leistungschrank Steuerung Steuerungstechnik</v>
          </cell>
        </row>
        <row r="11">
          <cell r="A11" t="str">
            <v>Anzeigen (Tableaus, Einzelanzeigen)</v>
          </cell>
        </row>
        <row r="12">
          <cell r="A12" t="str">
            <v>Arbeitsplatz, Takt,</v>
          </cell>
        </row>
        <row r="13">
          <cell r="A13" t="str">
            <v>Arbeitsraum</v>
          </cell>
        </row>
        <row r="14">
          <cell r="A14" t="str">
            <v>Arretierung</v>
          </cell>
        </row>
        <row r="15">
          <cell r="A15" t="str">
            <v>Aufheizzone</v>
          </cell>
        </row>
        <row r="16">
          <cell r="A16" t="str">
            <v>Auslagerwagen</v>
          </cell>
        </row>
        <row r="17">
          <cell r="A17" t="str">
            <v>Auslauf</v>
          </cell>
        </row>
        <row r="18">
          <cell r="A18" t="str">
            <v>Ausschieber</v>
          </cell>
        </row>
        <row r="19">
          <cell r="A19" t="str">
            <v>Aussenluft</v>
          </cell>
        </row>
        <row r="20">
          <cell r="A20" t="str">
            <v>Bauteileentsorgung</v>
          </cell>
        </row>
        <row r="21">
          <cell r="A21" t="str">
            <v>Bauteilfixierung</v>
          </cell>
        </row>
        <row r="22">
          <cell r="A22" t="str">
            <v>Bauteilversorgung</v>
          </cell>
        </row>
        <row r="23">
          <cell r="A23" t="str">
            <v>Bedientableau</v>
          </cell>
        </row>
        <row r="24">
          <cell r="A24" t="str">
            <v>Behälteraufnahme Behälterturm</v>
          </cell>
        </row>
        <row r="25">
          <cell r="A25" t="str">
            <v>Beladearm</v>
          </cell>
        </row>
        <row r="26">
          <cell r="A26" t="str">
            <v>Beladetüre</v>
          </cell>
        </row>
        <row r="27">
          <cell r="A27" t="str">
            <v>Beleuchtung</v>
          </cell>
        </row>
        <row r="28">
          <cell r="A28" t="str">
            <v>Blindnieten</v>
          </cell>
        </row>
        <row r="29">
          <cell r="A29" t="str">
            <v>Blockstelle</v>
          </cell>
        </row>
        <row r="30">
          <cell r="A30" t="str">
            <v>Bohreinheit</v>
          </cell>
        </row>
        <row r="31">
          <cell r="A31" t="str">
            <v>Bolzenschweissen</v>
          </cell>
        </row>
        <row r="32">
          <cell r="A32" t="str">
            <v>Brandschutztor</v>
          </cell>
        </row>
        <row r="33">
          <cell r="A33" t="str">
            <v>Bremsantrieb</v>
          </cell>
        </row>
        <row r="34">
          <cell r="A34" t="str">
            <v>Brenner</v>
          </cell>
        </row>
        <row r="35">
          <cell r="A35" t="str">
            <v>Buckelschweissen</v>
          </cell>
        </row>
        <row r="36">
          <cell r="A36" t="str">
            <v>BVS-Schrank + integrierte Einspeisung (BVSE-Schrank)</v>
          </cell>
        </row>
        <row r="37">
          <cell r="A37" t="str">
            <v>BVx-Schrank (BVS, BVT, BVO)</v>
          </cell>
        </row>
        <row r="38">
          <cell r="A38" t="str">
            <v>Clinchen</v>
          </cell>
        </row>
        <row r="39">
          <cell r="A39" t="str">
            <v>Diagnosestation</v>
          </cell>
        </row>
        <row r="40">
          <cell r="A40" t="str">
            <v>Distanzkontrolle</v>
          </cell>
        </row>
        <row r="41">
          <cell r="A41" t="str">
            <v>Dosierbehälter</v>
          </cell>
        </row>
        <row r="42">
          <cell r="A42" t="str">
            <v>Drehantrieb</v>
          </cell>
        </row>
        <row r="43">
          <cell r="A43" t="str">
            <v>Drehtisch</v>
          </cell>
        </row>
        <row r="44">
          <cell r="A44" t="str">
            <v>Drehtisch</v>
          </cell>
        </row>
        <row r="45">
          <cell r="A45" t="str">
            <v>Drehtisch</v>
          </cell>
        </row>
        <row r="46">
          <cell r="A46" t="str">
            <v>Drehtrommel</v>
          </cell>
        </row>
        <row r="47">
          <cell r="A47" t="str">
            <v>Drehverteiler</v>
          </cell>
        </row>
        <row r="48">
          <cell r="A48" t="str">
            <v>Druckluft</v>
          </cell>
        </row>
        <row r="49">
          <cell r="A49" t="str">
            <v>Düsenreinigung</v>
          </cell>
        </row>
        <row r="50">
          <cell r="A50" t="str">
            <v>Ein-/Ausschleusstation</v>
          </cell>
        </row>
        <row r="51">
          <cell r="A51" t="str">
            <v>Einlegestation, Einschleusen</v>
          </cell>
        </row>
        <row r="52">
          <cell r="A52" t="str">
            <v>Einrichtmeister</v>
          </cell>
        </row>
        <row r="53">
          <cell r="A53" t="str">
            <v>Einspeiseschrank</v>
          </cell>
        </row>
        <row r="54">
          <cell r="A54" t="str">
            <v>Einspeiseschrank (ohne Steuerung)</v>
          </cell>
        </row>
        <row r="55">
          <cell r="A55" t="str">
            <v>Elektrodenkappenwechsler</v>
          </cell>
        </row>
        <row r="56">
          <cell r="A56" t="str">
            <v>Entkoppler</v>
          </cell>
        </row>
        <row r="57">
          <cell r="A57" t="str">
            <v>Etikettierer</v>
          </cell>
        </row>
        <row r="58">
          <cell r="A58" t="str">
            <v>Fahrkabine</v>
          </cell>
        </row>
        <row r="59">
          <cell r="A59" t="str">
            <v>Fahrschiene, Fahrschalter</v>
          </cell>
        </row>
        <row r="60">
          <cell r="A60" t="str">
            <v>Fahrwerk, Farbwahl</v>
          </cell>
        </row>
        <row r="61">
          <cell r="A61" t="str">
            <v>Fahrzone</v>
          </cell>
        </row>
        <row r="62">
          <cell r="A62" t="str">
            <v>Fahrzoneneinspeisekasten (Fördertechnik)</v>
          </cell>
        </row>
        <row r="63">
          <cell r="A63" t="str">
            <v>Filter allgemein</v>
          </cell>
        </row>
        <row r="64">
          <cell r="A64" t="str">
            <v>Flüssigkeitsbehälter</v>
          </cell>
        </row>
        <row r="65">
          <cell r="A65" t="str">
            <v>Fördermittel</v>
          </cell>
        </row>
        <row r="66">
          <cell r="A66" t="str">
            <v>Frischluft</v>
          </cell>
        </row>
        <row r="67">
          <cell r="A67" t="str">
            <v>Fügen</v>
          </cell>
        </row>
        <row r="68">
          <cell r="A68" t="str">
            <v>Funktionsgruppe</v>
          </cell>
        </row>
        <row r="69">
          <cell r="A69" t="str">
            <v>Gehänge Schließstation</v>
          </cell>
        </row>
        <row r="70">
          <cell r="A70" t="str">
            <v>Gehänge Verstellstation</v>
          </cell>
        </row>
        <row r="71">
          <cell r="A71" t="str">
            <v>Geschwindigkeitserfassung (general)</v>
          </cell>
        </row>
        <row r="72">
          <cell r="A72" t="str">
            <v>Greifer (Handling) am Roboter</v>
          </cell>
        </row>
        <row r="73">
          <cell r="A73" t="str">
            <v>Gruppe</v>
          </cell>
        </row>
        <row r="74">
          <cell r="A74" t="str">
            <v>Gurt- / Zahnriemenförderer</v>
          </cell>
        </row>
        <row r="75">
          <cell r="A75" t="str">
            <v>Handlingsgerät</v>
          </cell>
        </row>
        <row r="76">
          <cell r="A76" t="str">
            <v>Hand-Vor-Ort-Bedieneinheit</v>
          </cell>
        </row>
        <row r="77">
          <cell r="A77" t="str">
            <v>Heizung</v>
          </cell>
        </row>
        <row r="78">
          <cell r="A78" t="str">
            <v>Hubbalken Block</v>
          </cell>
        </row>
        <row r="79">
          <cell r="A79" t="str">
            <v>Hubbalkenblock</v>
          </cell>
        </row>
        <row r="80">
          <cell r="A80" t="str">
            <v>Hubstation</v>
          </cell>
        </row>
        <row r="81">
          <cell r="A81" t="str">
            <v>Hubstation</v>
          </cell>
        </row>
        <row r="82">
          <cell r="A82" t="str">
            <v>Hubstation</v>
          </cell>
        </row>
        <row r="83">
          <cell r="A83" t="str">
            <v>Hubtisch</v>
          </cell>
        </row>
        <row r="84">
          <cell r="A84" t="str">
            <v>Hubtisch</v>
          </cell>
        </row>
        <row r="85">
          <cell r="A85" t="str">
            <v>Hubtisch</v>
          </cell>
        </row>
        <row r="86">
          <cell r="A86" t="str">
            <v>Hubwerk</v>
          </cell>
        </row>
        <row r="87">
          <cell r="A87" t="str">
            <v>Hydraulik</v>
          </cell>
        </row>
        <row r="88">
          <cell r="A88" t="str">
            <v>Hydraulikaggregat</v>
          </cell>
        </row>
        <row r="89">
          <cell r="A89" t="str">
            <v>Hydraulikaggregat</v>
          </cell>
        </row>
        <row r="90">
          <cell r="A90" t="str">
            <v>Identsystem</v>
          </cell>
        </row>
        <row r="91">
          <cell r="A91" t="str">
            <v>Industrie-Roboter</v>
          </cell>
        </row>
        <row r="92">
          <cell r="A92" t="str">
            <v>Inline-Messstation</v>
          </cell>
        </row>
        <row r="93">
          <cell r="A93" t="str">
            <v>Installationsnotaustaster</v>
          </cell>
        </row>
        <row r="94">
          <cell r="A94" t="str">
            <v>Kabine</v>
          </cell>
        </row>
        <row r="95">
          <cell r="A95" t="str">
            <v>Kamerasystem</v>
          </cell>
        </row>
        <row r="96">
          <cell r="A96" t="str">
            <v>Kappenfräser und E-Kappenwechsler</v>
          </cell>
        </row>
        <row r="97">
          <cell r="A97" t="str">
            <v>Karossenumsetzer</v>
          </cell>
        </row>
        <row r="98">
          <cell r="A98" t="str">
            <v>Karossenverriegelung</v>
          </cell>
        </row>
        <row r="99">
          <cell r="A99" t="str">
            <v>Kette Einlag., Kuppeleinheit, Klappstation</v>
          </cell>
        </row>
        <row r="100">
          <cell r="A100" t="str">
            <v>Kettenförderer</v>
          </cell>
        </row>
        <row r="101">
          <cell r="A101" t="str">
            <v>Kipptisch</v>
          </cell>
        </row>
        <row r="102">
          <cell r="A102" t="str">
            <v>Kleben allg., Klebe-Technik/Auftrag</v>
          </cell>
        </row>
        <row r="103">
          <cell r="A103" t="str">
            <v>Klebetechnik</v>
          </cell>
        </row>
        <row r="104">
          <cell r="A104" t="str">
            <v>Klemmkasten</v>
          </cell>
        </row>
        <row r="105">
          <cell r="A105" t="str">
            <v>Klemmung</v>
          </cell>
        </row>
        <row r="106">
          <cell r="A106" t="str">
            <v>Kühlen</v>
          </cell>
        </row>
        <row r="107">
          <cell r="A107" t="str">
            <v>Kühlzone</v>
          </cell>
        </row>
        <row r="108">
          <cell r="A108" t="str">
            <v>Kurvenblock</v>
          </cell>
        </row>
        <row r="109">
          <cell r="A109" t="str">
            <v>Kurvenblock</v>
          </cell>
        </row>
        <row r="110">
          <cell r="A110" t="str">
            <v>Längsförderer</v>
          </cell>
        </row>
        <row r="111">
          <cell r="A111" t="str">
            <v>Laserschweißen</v>
          </cell>
        </row>
        <row r="112">
          <cell r="A112" t="str">
            <v>Laufrollen</v>
          </cell>
        </row>
        <row r="113">
          <cell r="A113" t="str">
            <v>Leistungsschrank (evtl. inkl. Steu./ Einsp.)</v>
          </cell>
        </row>
        <row r="114">
          <cell r="A114" t="str">
            <v>Lenkradmesswaage</v>
          </cell>
        </row>
        <row r="115">
          <cell r="A115" t="str">
            <v>Luftaufbereitung</v>
          </cell>
        </row>
        <row r="116">
          <cell r="A116" t="str">
            <v>Makiersysteme (Präger, Nadelritzen,)</v>
          </cell>
        </row>
        <row r="117">
          <cell r="A117" t="str">
            <v>Medien-Modul (Roboter Luft und Wasser)</v>
          </cell>
        </row>
        <row r="118">
          <cell r="A118" t="str">
            <v>Medienplatte, Medieneinspeisung, Luftverbrauchsmessung (Fertigungsanlagen)</v>
          </cell>
        </row>
        <row r="119">
          <cell r="A119" t="str">
            <v>Meldeschiene, Messschrank</v>
          </cell>
        </row>
        <row r="120">
          <cell r="A120" t="str">
            <v>Messeinrichtung</v>
          </cell>
        </row>
        <row r="121">
          <cell r="A121" t="str">
            <v>Meßschlitten</v>
          </cell>
        </row>
        <row r="122">
          <cell r="A122" t="str">
            <v>Mischbehälter</v>
          </cell>
        </row>
        <row r="123">
          <cell r="A123" t="str">
            <v>Montageplatz, Montieren</v>
          </cell>
        </row>
        <row r="124">
          <cell r="A124" t="str">
            <v>Niederspannungsverteiler-Schrank</v>
          </cell>
        </row>
        <row r="125">
          <cell r="A125" t="str">
            <v>Nieten</v>
          </cell>
        </row>
        <row r="126">
          <cell r="A126" t="str">
            <v>Not-Aus</v>
          </cell>
        </row>
        <row r="127">
          <cell r="A127" t="str">
            <v>Notaus Schiene</v>
          </cell>
        </row>
        <row r="128">
          <cell r="A128" t="str">
            <v>Not-Aus Schiene Trennblock</v>
          </cell>
        </row>
        <row r="129">
          <cell r="A129" t="str">
            <v>Paternoster</v>
          </cell>
        </row>
        <row r="130">
          <cell r="A130" t="str">
            <v>PE-Prüfstation</v>
          </cell>
        </row>
        <row r="131">
          <cell r="A131" t="str">
            <v>Plattenband</v>
          </cell>
        </row>
        <row r="132">
          <cell r="A132" t="str">
            <v>Positioniereinrichtung / Zentrierung</v>
          </cell>
        </row>
        <row r="133">
          <cell r="A133" t="str">
            <v>Power and Free Förderanlage</v>
          </cell>
        </row>
        <row r="134">
          <cell r="A134" t="str">
            <v>Powerrail Booster Schiene A/B</v>
          </cell>
        </row>
        <row r="135">
          <cell r="A135" t="str">
            <v>Powerrail Booster Trennblock,
Portal</v>
          </cell>
        </row>
        <row r="136">
          <cell r="A136" t="str">
            <v>Primerauftrag</v>
          </cell>
        </row>
        <row r="137">
          <cell r="A137" t="str">
            <v>Protokolldrucker</v>
          </cell>
        </row>
        <row r="138">
          <cell r="A138" t="str">
            <v>Prozessleine</v>
          </cell>
        </row>
        <row r="139">
          <cell r="A139" t="str">
            <v>Prüf Station / Ausschleusstation</v>
          </cell>
        </row>
        <row r="140">
          <cell r="A140" t="str">
            <v>Prüfen</v>
          </cell>
        </row>
        <row r="141">
          <cell r="A141" t="str">
            <v>Prüfstation</v>
          </cell>
        </row>
        <row r="142">
          <cell r="A142" t="str">
            <v>Puffer, Pufferförderer</v>
          </cell>
        </row>
        <row r="143">
          <cell r="A143" t="str">
            <v>Pumpe</v>
          </cell>
        </row>
        <row r="144">
          <cell r="A144" t="str">
            <v>Querkettenförderer</v>
          </cell>
        </row>
        <row r="145">
          <cell r="A145" t="str">
            <v>Radstandsverstelleinheit</v>
          </cell>
        </row>
        <row r="146">
          <cell r="A146" t="str">
            <v>Rechnerschrank</v>
          </cell>
        </row>
        <row r="147">
          <cell r="A147" t="str">
            <v>Regal</v>
          </cell>
        </row>
        <row r="148">
          <cell r="A148" t="str">
            <v>Roboter</v>
          </cell>
        </row>
        <row r="149">
          <cell r="A149" t="str">
            <v>Rollenbahn</v>
          </cell>
        </row>
        <row r="150">
          <cell r="A150" t="str">
            <v>Rollenbahn</v>
          </cell>
        </row>
        <row r="151">
          <cell r="A151" t="str">
            <v>Rollenförderer</v>
          </cell>
        </row>
        <row r="152">
          <cell r="A152" t="str">
            <v>Rollenumsetzstation</v>
          </cell>
        </row>
        <row r="153">
          <cell r="A153" t="str">
            <v>Rolltor</v>
          </cell>
        </row>
        <row r="154">
          <cell r="A154" t="str">
            <v>Rücklauf</v>
          </cell>
        </row>
        <row r="155">
          <cell r="A155" t="str">
            <v>Rührwerk</v>
          </cell>
        </row>
        <row r="156">
          <cell r="A156" t="str">
            <v>Schieneneinspeisungen (Segment)</v>
          </cell>
        </row>
        <row r="157">
          <cell r="A157" t="str">
            <v>Schleppförderer</v>
          </cell>
        </row>
        <row r="158">
          <cell r="A158" t="str">
            <v>Schrauber Controller</v>
          </cell>
        </row>
        <row r="159">
          <cell r="A159" t="str">
            <v>Schubantrieb</v>
          </cell>
        </row>
        <row r="160">
          <cell r="A160" t="str">
            <v>Schutzgas</v>
          </cell>
        </row>
        <row r="161">
          <cell r="A161" t="str">
            <v>Schutztür</v>
          </cell>
        </row>
        <row r="162">
          <cell r="A162" t="str">
            <v>Schutztürriegel</v>
          </cell>
        </row>
        <row r="163">
          <cell r="A163" t="str">
            <v>Schutzzaun</v>
          </cell>
        </row>
        <row r="164">
          <cell r="A164" t="str">
            <v>Schweisskoffer</v>
          </cell>
        </row>
        <row r="165">
          <cell r="A165" t="str">
            <v>Schweisszange</v>
          </cell>
        </row>
        <row r="166">
          <cell r="A166" t="str">
            <v>Schwenkplatte
Schwenkeinrichtung / Schwenkeinheit/Schwenktisch</v>
          </cell>
        </row>
        <row r="167">
          <cell r="A167" t="str">
            <v>Servoeinheit</v>
          </cell>
        </row>
        <row r="168">
          <cell r="A168" t="str">
            <v>Shuttle</v>
          </cell>
        </row>
        <row r="169">
          <cell r="A169" t="str">
            <v>Shuttle / transfer</v>
          </cell>
        </row>
        <row r="170">
          <cell r="A170" t="str">
            <v>Sicherheits Block (Fördertechnik)</v>
          </cell>
        </row>
        <row r="171">
          <cell r="A171" t="str">
            <v>Sicherheitsblock</v>
          </cell>
        </row>
        <row r="172">
          <cell r="A172" t="str">
            <v>Signalaustausch</v>
          </cell>
        </row>
        <row r="173">
          <cell r="A173" t="str">
            <v>Speicher Regal / Bauteilablage (ohne Wertschöpfung)</v>
          </cell>
        </row>
        <row r="174">
          <cell r="A174" t="str">
            <v>Sperre</v>
          </cell>
        </row>
        <row r="175">
          <cell r="A175" t="str">
            <v>Stauförderer</v>
          </cell>
        </row>
        <row r="176">
          <cell r="A176" t="str">
            <v>Staukette</v>
          </cell>
        </row>
        <row r="177">
          <cell r="A177" t="str">
            <v>Stellgerät general</v>
          </cell>
        </row>
        <row r="178">
          <cell r="A178" t="str">
            <v>Steuerschrank (evtl. inkl. Leistung)</v>
          </cell>
        </row>
        <row r="179">
          <cell r="A179" t="str">
            <v>Stopper (Fördertechnik)</v>
          </cell>
        </row>
        <row r="180">
          <cell r="A180" t="str">
            <v>Teleskopgabel
Gabel</v>
          </cell>
        </row>
        <row r="181">
          <cell r="A181" t="str">
            <v>Terminal f. Dateneingabe; Datensichtger.</v>
          </cell>
        </row>
        <row r="182">
          <cell r="A182" t="str">
            <v>Träger</v>
          </cell>
        </row>
        <row r="183">
          <cell r="A183" t="str">
            <v>Tragkettenförderer</v>
          </cell>
        </row>
        <row r="184">
          <cell r="A184" t="str">
            <v>Transfer</v>
          </cell>
        </row>
        <row r="185">
          <cell r="A185" t="str">
            <v>Trennblock</v>
          </cell>
        </row>
        <row r="186">
          <cell r="A186" t="str">
            <v>Trennblockkasten (Fördertechnik)</v>
          </cell>
        </row>
        <row r="187">
          <cell r="A187" t="str">
            <v>Trockner</v>
          </cell>
        </row>
        <row r="188">
          <cell r="A188" t="str">
            <v>Typerkennung</v>
          </cell>
        </row>
        <row r="189">
          <cell r="A189" t="str">
            <v>Umluft</v>
          </cell>
        </row>
        <row r="190">
          <cell r="A190" t="str">
            <v>Umsetzeinheit (Übersetzer)</v>
          </cell>
        </row>
        <row r="191">
          <cell r="A191" t="str">
            <v>Umsetzstation, Umsetzeinheit, Übersetzer</v>
          </cell>
        </row>
        <row r="192">
          <cell r="A192" t="str">
            <v>Umsetzzone</v>
          </cell>
        </row>
        <row r="193">
          <cell r="A193" t="str">
            <v>Unterverteiler</v>
          </cell>
        </row>
        <row r="194">
          <cell r="A194" t="str">
            <v>Unterverteiler 
Klemmkasten
Schaltkasten</v>
          </cell>
        </row>
        <row r="195">
          <cell r="A195" t="str">
            <v>Ventilschrank</v>
          </cell>
        </row>
        <row r="196">
          <cell r="A196" t="str">
            <v>Ver- /Entriegelungsstation</v>
          </cell>
        </row>
        <row r="197">
          <cell r="A197" t="str">
            <v>Vereinzelung</v>
          </cell>
        </row>
        <row r="198">
          <cell r="A198" t="str">
            <v>Verriegelung</v>
          </cell>
        </row>
        <row r="199">
          <cell r="A199" t="str">
            <v>Verschiebewagen</v>
          </cell>
        </row>
        <row r="200">
          <cell r="A200" t="str">
            <v>Verschiebewagen</v>
          </cell>
        </row>
        <row r="201">
          <cell r="A201" t="str">
            <v>Vertikal Förderer</v>
          </cell>
        </row>
        <row r="202">
          <cell r="A202" t="str">
            <v>Vorlauf</v>
          </cell>
        </row>
        <row r="203">
          <cell r="A203" t="str">
            <v>Warte Block (Fördertechnik)</v>
          </cell>
        </row>
        <row r="204">
          <cell r="A204" t="str">
            <v>Wartungseinheit</v>
          </cell>
        </row>
        <row r="205">
          <cell r="A205" t="str">
            <v>Wartungseinheit</v>
          </cell>
        </row>
        <row r="206">
          <cell r="A206" t="str">
            <v>Waschanlage</v>
          </cell>
        </row>
        <row r="207">
          <cell r="A207" t="str">
            <v>Weiche</v>
          </cell>
        </row>
        <row r="208">
          <cell r="A208" t="str">
            <v>Weiche (Fördertechnik)</v>
          </cell>
        </row>
        <row r="209">
          <cell r="A209" t="str">
            <v>Werkermitfahrband, Warteblock</v>
          </cell>
        </row>
        <row r="210">
          <cell r="A210" t="str">
            <v>Werkerplatz mit Tor, Scanner oder Licht-vorhang</v>
          </cell>
        </row>
        <row r="211">
          <cell r="A211" t="str">
            <v>Werkertor</v>
          </cell>
        </row>
        <row r="212">
          <cell r="A212" t="str">
            <v>Werkzeug (Fertigungsanlagen)</v>
          </cell>
        </row>
        <row r="213">
          <cell r="A213" t="str">
            <v>Werkzeug general</v>
          </cell>
        </row>
        <row r="214">
          <cell r="A214" t="str">
            <v>Werkzeugablage (Robotergreifer, Zangenbahnhof)</v>
          </cell>
        </row>
        <row r="215">
          <cell r="A215" t="str">
            <v>Werkzeugwechsler</v>
          </cell>
        </row>
        <row r="216">
          <cell r="A216" t="str">
            <v>Wippe</v>
          </cell>
        </row>
        <row r="217">
          <cell r="A217" t="str">
            <v>Zuführeinheit (Kokat, Bauteilrutschen,Vereinzelner, Bauteilwagen)</v>
          </cell>
        </row>
        <row r="218">
          <cell r="A218" t="str">
            <v>Zug- Hubeinrichtung</v>
          </cell>
        </row>
        <row r="219">
          <cell r="A219" t="str">
            <v>Zuluft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FF00"/>
  </sheetPr>
  <dimension ref="A1:R70"/>
  <sheetViews>
    <sheetView showGridLines="0" zoomScale="90" zoomScaleNormal="90" workbookViewId="0">
      <pane ySplit="4" topLeftCell="A5" activePane="bottomLeft" state="frozen"/>
      <selection pane="bottomLeft" activeCell="A5" sqref="A5"/>
    </sheetView>
  </sheetViews>
  <sheetFormatPr baseColWidth="10" defaultRowHeight="13.2" outlineLevelRow="1" x14ac:dyDescent="0.25"/>
  <cols>
    <col min="1" max="1" width="4" customWidth="1"/>
    <col min="2" max="2" width="11.44140625" style="4"/>
    <col min="4" max="4" width="8.88671875" customWidth="1"/>
    <col min="5" max="5" width="2.33203125" style="4" customWidth="1"/>
    <col min="6" max="6" width="12.5546875" customWidth="1"/>
    <col min="7" max="7" width="13.5546875" customWidth="1"/>
    <col min="8" max="8" width="11.44140625" customWidth="1"/>
    <col min="9" max="9" width="2.33203125" style="4" customWidth="1"/>
    <col min="13" max="13" width="2.33203125" style="4" customWidth="1"/>
    <col min="14" max="14" width="6" customWidth="1"/>
    <col min="15" max="15" width="3.109375" customWidth="1"/>
  </cols>
  <sheetData>
    <row r="1" spans="1:18" s="4" customFormat="1" ht="9" customHeight="1" x14ac:dyDescent="0.25">
      <c r="D1" s="8"/>
    </row>
    <row r="2" spans="1:18" s="4" customFormat="1" ht="42.75" customHeight="1" x14ac:dyDescent="0.25">
      <c r="C2" s="88" t="s">
        <v>94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1:18" s="4" customFormat="1" ht="24" customHeight="1" x14ac:dyDescent="0.25">
      <c r="C3" s="48" t="str">
        <f>C10</f>
        <v>Facility description</v>
      </c>
      <c r="E3" s="8"/>
      <c r="O3" s="6"/>
    </row>
    <row r="4" spans="1:18" s="4" customFormat="1" ht="3" customHeight="1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6"/>
    </row>
    <row r="5" spans="1:18" x14ac:dyDescent="0.25">
      <c r="B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8" s="4" customFormat="1" ht="15.6" x14ac:dyDescent="0.3">
      <c r="B6" s="15" t="s">
        <v>54</v>
      </c>
      <c r="C6" s="11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spans="1:18" outlineLevel="1" x14ac:dyDescent="0.25"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2"/>
    </row>
    <row r="8" spans="1:18" ht="25.5" customHeight="1" outlineLevel="1" x14ac:dyDescent="0.3">
      <c r="B8" s="23"/>
      <c r="C8" s="18"/>
      <c r="D8" s="24"/>
      <c r="E8" s="24"/>
      <c r="F8" s="95"/>
      <c r="G8" s="96"/>
      <c r="H8" s="24"/>
      <c r="I8" s="24"/>
      <c r="J8" s="14"/>
      <c r="K8" s="24"/>
      <c r="L8" s="100"/>
      <c r="M8" s="101"/>
      <c r="N8" s="25"/>
      <c r="Q8" s="67"/>
      <c r="R8" s="67"/>
    </row>
    <row r="9" spans="1:18" ht="17.25" customHeight="1" outlineLevel="1" x14ac:dyDescent="0.3">
      <c r="B9" s="23"/>
      <c r="C9" s="60" t="s">
        <v>19</v>
      </c>
      <c r="D9" s="61"/>
      <c r="E9" s="61"/>
      <c r="F9" s="60" t="s">
        <v>22</v>
      </c>
      <c r="G9" s="61"/>
      <c r="H9" s="61"/>
      <c r="I9" s="61"/>
      <c r="J9" s="60" t="s">
        <v>20</v>
      </c>
      <c r="K9" s="61"/>
      <c r="L9" s="60" t="s">
        <v>21</v>
      </c>
      <c r="M9" s="10"/>
      <c r="N9" s="25"/>
      <c r="Q9" s="67"/>
      <c r="R9" s="67"/>
    </row>
    <row r="10" spans="1:18" ht="30" customHeight="1" outlineLevel="1" x14ac:dyDescent="0.3">
      <c r="B10" s="23"/>
      <c r="C10" s="102" t="s">
        <v>64</v>
      </c>
      <c r="D10" s="103"/>
      <c r="E10" s="103"/>
      <c r="F10" s="103"/>
      <c r="G10" s="103"/>
      <c r="H10" s="103"/>
      <c r="I10" s="103"/>
      <c r="J10" s="103"/>
      <c r="K10" s="103"/>
      <c r="L10" s="103"/>
      <c r="M10" s="104"/>
      <c r="N10" s="25"/>
      <c r="Q10" s="67"/>
      <c r="R10" s="67"/>
    </row>
    <row r="11" spans="1:18" ht="18" customHeight="1" outlineLevel="1" x14ac:dyDescent="0.3">
      <c r="B11" s="23"/>
      <c r="C11" s="60" t="s">
        <v>68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5"/>
      <c r="P11" s="67"/>
      <c r="Q11" s="67"/>
      <c r="R11" s="67"/>
    </row>
    <row r="12" spans="1:18" ht="30" customHeight="1" outlineLevel="1" x14ac:dyDescent="0.3">
      <c r="B12" s="23"/>
      <c r="C12" s="97"/>
      <c r="D12" s="98"/>
      <c r="E12" s="98"/>
      <c r="F12" s="99"/>
      <c r="G12" s="24"/>
      <c r="H12" s="93" t="s">
        <v>84</v>
      </c>
      <c r="I12" s="94"/>
      <c r="J12" s="24"/>
      <c r="K12" s="102"/>
      <c r="L12" s="105"/>
      <c r="M12" s="96"/>
      <c r="N12" s="25"/>
    </row>
    <row r="13" spans="1:18" outlineLevel="1" x14ac:dyDescent="0.25">
      <c r="B13" s="23"/>
      <c r="C13" s="10" t="s">
        <v>23</v>
      </c>
      <c r="D13" s="24"/>
      <c r="E13" s="24"/>
      <c r="F13" s="24"/>
      <c r="G13" s="24"/>
      <c r="H13" s="10" t="s">
        <v>63</v>
      </c>
      <c r="I13" s="10"/>
      <c r="J13" s="24"/>
      <c r="K13" s="10" t="s">
        <v>24</v>
      </c>
      <c r="L13" s="10"/>
      <c r="M13" s="10"/>
      <c r="N13" s="25"/>
    </row>
    <row r="14" spans="1:18" s="4" customFormat="1" outlineLevel="1" x14ac:dyDescent="0.25">
      <c r="B14" s="23"/>
      <c r="C14" s="10"/>
      <c r="D14" s="24"/>
      <c r="E14" s="24"/>
      <c r="F14" s="24"/>
      <c r="G14" s="24"/>
      <c r="H14" s="10"/>
      <c r="I14" s="10"/>
      <c r="J14" s="24"/>
      <c r="K14" s="10"/>
      <c r="L14" s="10"/>
      <c r="M14" s="10"/>
      <c r="N14" s="25"/>
    </row>
    <row r="15" spans="1:18" s="4" customFormat="1" ht="17.399999999999999" outlineLevel="1" x14ac:dyDescent="0.3">
      <c r="B15" s="23"/>
      <c r="C15" s="49" t="s">
        <v>82</v>
      </c>
      <c r="D15" s="24"/>
      <c r="E15" s="24"/>
      <c r="F15" s="49" t="s">
        <v>75</v>
      </c>
      <c r="G15" s="24"/>
      <c r="H15" s="24"/>
      <c r="I15" s="10"/>
      <c r="J15" s="24"/>
      <c r="K15" s="10"/>
      <c r="L15" s="10"/>
      <c r="M15" s="10"/>
      <c r="N15" s="25"/>
      <c r="P15" s="67" t="s">
        <v>95</v>
      </c>
    </row>
    <row r="16" spans="1:18" s="4" customFormat="1" ht="17.399999999999999" outlineLevel="1" x14ac:dyDescent="0.3">
      <c r="B16" s="23"/>
      <c r="C16" s="10" t="s">
        <v>83</v>
      </c>
      <c r="D16" s="24"/>
      <c r="E16" s="24"/>
      <c r="F16" s="10" t="s">
        <v>25</v>
      </c>
      <c r="G16" s="24"/>
      <c r="H16" s="10"/>
      <c r="I16" s="10"/>
      <c r="J16" s="24"/>
      <c r="K16" s="10"/>
      <c r="L16" s="10"/>
      <c r="M16" s="10"/>
      <c r="N16" s="25"/>
      <c r="P16" s="67" t="s">
        <v>96</v>
      </c>
    </row>
    <row r="17" spans="2:16" s="4" customFormat="1" ht="17.399999999999999" outlineLevel="1" x14ac:dyDescent="0.3">
      <c r="B17" s="23"/>
      <c r="C17" s="10"/>
      <c r="D17" s="24"/>
      <c r="E17" s="24"/>
      <c r="F17" s="24"/>
      <c r="G17" s="24"/>
      <c r="H17" s="10"/>
      <c r="I17" s="10"/>
      <c r="J17" s="24"/>
      <c r="K17" s="10"/>
      <c r="L17" s="10"/>
      <c r="M17" s="10"/>
      <c r="N17" s="25"/>
      <c r="P17" s="67" t="s">
        <v>97</v>
      </c>
    </row>
    <row r="18" spans="2:16" s="4" customFormat="1" outlineLevel="1" x14ac:dyDescent="0.25">
      <c r="B18" s="27"/>
      <c r="C18" s="47"/>
      <c r="D18" s="28"/>
      <c r="E18" s="28"/>
      <c r="F18" s="28"/>
      <c r="G18" s="47"/>
      <c r="H18" s="28"/>
      <c r="I18" s="28"/>
      <c r="J18" s="28"/>
      <c r="K18" s="47"/>
      <c r="L18" s="28"/>
      <c r="M18" s="28"/>
      <c r="N18" s="29"/>
    </row>
    <row r="19" spans="2:16" s="12" customFormat="1" outlineLevel="1" x14ac:dyDescent="0.25">
      <c r="D19" s="17"/>
      <c r="E19" s="16"/>
      <c r="F19" s="16"/>
      <c r="H19" s="16"/>
    </row>
    <row r="20" spans="2:16" s="12" customFormat="1" outlineLevel="1" x14ac:dyDescent="0.25"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2"/>
      <c r="O20" s="4"/>
    </row>
    <row r="21" spans="2:16" s="4" customFormat="1" ht="12.75" customHeight="1" outlineLevel="1" x14ac:dyDescent="0.25">
      <c r="B21" s="23"/>
      <c r="C21" s="26" t="s">
        <v>52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5"/>
    </row>
    <row r="22" spans="2:16" s="4" customFormat="1" outlineLevel="1" x14ac:dyDescent="0.25">
      <c r="B22" s="23"/>
      <c r="C22" s="26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5"/>
    </row>
    <row r="23" spans="2:16" s="4" customFormat="1" ht="12.75" customHeight="1" outlineLevel="1" x14ac:dyDescent="0.25">
      <c r="B23" s="23"/>
      <c r="C23" s="26" t="s">
        <v>80</v>
      </c>
      <c r="D23" s="24"/>
      <c r="E23" s="24"/>
      <c r="F23" s="24"/>
      <c r="G23" s="10" t="s">
        <v>81</v>
      </c>
      <c r="H23" s="24"/>
      <c r="I23" s="24"/>
      <c r="J23" s="24"/>
      <c r="K23" s="24"/>
      <c r="L23" s="24"/>
      <c r="M23" s="24"/>
      <c r="N23" s="25"/>
    </row>
    <row r="24" spans="2:16" s="4" customFormat="1" ht="30" customHeight="1" outlineLevel="1" x14ac:dyDescent="0.3">
      <c r="B24" s="68" t="s">
        <v>119</v>
      </c>
      <c r="C24" s="89" t="s">
        <v>84</v>
      </c>
      <c r="D24" s="90"/>
      <c r="E24" s="24"/>
      <c r="F24" s="24"/>
      <c r="G24" s="89" t="s">
        <v>88</v>
      </c>
      <c r="H24" s="90"/>
      <c r="I24" s="24"/>
      <c r="J24" s="24"/>
      <c r="K24" s="91" t="s">
        <v>87</v>
      </c>
      <c r="L24" s="92"/>
      <c r="M24" s="24"/>
      <c r="N24" s="25"/>
      <c r="O24" s="4" t="s">
        <v>53</v>
      </c>
    </row>
    <row r="25" spans="2:16" s="4" customFormat="1" outlineLevel="1" x14ac:dyDescent="0.25">
      <c r="B25" s="23"/>
      <c r="C25" s="10" t="s">
        <v>85</v>
      </c>
      <c r="D25" s="24"/>
      <c r="E25" s="24"/>
      <c r="F25" s="24"/>
      <c r="G25" s="87" t="s">
        <v>86</v>
      </c>
      <c r="H25" s="87"/>
      <c r="I25" s="24"/>
      <c r="J25" s="24" t="s">
        <v>53</v>
      </c>
      <c r="K25" s="10"/>
      <c r="L25" s="24"/>
      <c r="M25" s="24"/>
      <c r="N25" s="25"/>
    </row>
    <row r="26" spans="2:16" s="4" customFormat="1" ht="30" customHeight="1" outlineLevel="1" x14ac:dyDescent="0.3">
      <c r="B26" s="68" t="s">
        <v>89</v>
      </c>
      <c r="C26" s="89" t="s">
        <v>93</v>
      </c>
      <c r="D26" s="90"/>
      <c r="E26" s="24"/>
      <c r="F26" s="24"/>
      <c r="G26" s="89" t="s">
        <v>92</v>
      </c>
      <c r="H26" s="90"/>
      <c r="I26" s="24"/>
      <c r="J26" s="24"/>
      <c r="K26" s="91" t="s">
        <v>89</v>
      </c>
      <c r="L26" s="92"/>
      <c r="M26" s="24"/>
      <c r="N26" s="25"/>
      <c r="O26" s="4" t="s">
        <v>53</v>
      </c>
    </row>
    <row r="27" spans="2:16" s="4" customFormat="1" outlineLevel="1" x14ac:dyDescent="0.25">
      <c r="B27" s="23"/>
      <c r="C27" s="10" t="s">
        <v>90</v>
      </c>
      <c r="D27" s="24"/>
      <c r="E27" s="24"/>
      <c r="F27" s="24"/>
      <c r="G27" s="87" t="s">
        <v>91</v>
      </c>
      <c r="H27" s="87"/>
      <c r="I27" s="24"/>
      <c r="J27" s="24" t="s">
        <v>53</v>
      </c>
      <c r="K27" s="10"/>
      <c r="L27" s="24"/>
      <c r="M27" s="24"/>
      <c r="N27" s="25"/>
    </row>
    <row r="28" spans="2:16" ht="15.6" x14ac:dyDescent="0.3">
      <c r="B28" s="15" t="s">
        <v>55</v>
      </c>
      <c r="O28" s="4"/>
    </row>
    <row r="29" spans="2:16" s="4" customFormat="1" ht="22.5" customHeight="1" outlineLevel="1" thickBot="1" x14ac:dyDescent="0.3">
      <c r="B29" s="20"/>
      <c r="C29" s="56" t="s">
        <v>65</v>
      </c>
      <c r="D29" s="21"/>
      <c r="E29" s="21"/>
      <c r="F29" s="21"/>
      <c r="G29" s="56" t="s">
        <v>66</v>
      </c>
      <c r="H29" s="56"/>
      <c r="I29" s="21"/>
      <c r="J29" s="21"/>
      <c r="K29" s="21"/>
      <c r="L29" s="21"/>
      <c r="M29" s="21"/>
      <c r="N29" s="22"/>
    </row>
    <row r="30" spans="2:16" s="4" customFormat="1" ht="31.5" customHeight="1" outlineLevel="1" thickBot="1" x14ac:dyDescent="0.35">
      <c r="B30" s="23"/>
      <c r="C30" s="111"/>
      <c r="D30" s="112"/>
      <c r="E30" s="113"/>
      <c r="F30" s="24"/>
      <c r="G30" s="111"/>
      <c r="H30" s="113"/>
      <c r="I30" s="24"/>
      <c r="J30" s="24"/>
      <c r="K30" s="24"/>
      <c r="L30" s="24"/>
      <c r="M30" s="24"/>
      <c r="N30" s="25"/>
    </row>
    <row r="31" spans="2:16" s="4" customFormat="1" outlineLevel="1" x14ac:dyDescent="0.25">
      <c r="B31" s="23"/>
      <c r="C31" s="10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5"/>
    </row>
    <row r="32" spans="2:16" s="4" customFormat="1" outlineLevel="1" x14ac:dyDescent="0.25">
      <c r="B32" s="23"/>
      <c r="C32" s="10" t="s">
        <v>56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5"/>
    </row>
    <row r="33" spans="2:14" ht="55.5" customHeight="1" outlineLevel="1" x14ac:dyDescent="0.25">
      <c r="B33" s="23"/>
      <c r="C33" s="114"/>
      <c r="D33" s="115"/>
      <c r="E33" s="115"/>
      <c r="F33" s="115"/>
      <c r="G33" s="115"/>
      <c r="H33" s="115"/>
      <c r="I33" s="115"/>
      <c r="J33" s="115"/>
      <c r="K33" s="115"/>
      <c r="L33" s="115"/>
      <c r="M33" s="116"/>
      <c r="N33" s="25"/>
    </row>
    <row r="34" spans="2:14" ht="21" customHeight="1" outlineLevel="1" x14ac:dyDescent="0.25">
      <c r="B34" s="23"/>
      <c r="C34" s="10" t="s">
        <v>57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5"/>
    </row>
    <row r="35" spans="2:14" ht="58.5" customHeight="1" outlineLevel="1" x14ac:dyDescent="0.25">
      <c r="B35" s="23"/>
      <c r="C35" s="114"/>
      <c r="D35" s="115"/>
      <c r="E35" s="115"/>
      <c r="F35" s="115"/>
      <c r="G35" s="115"/>
      <c r="H35" s="115"/>
      <c r="I35" s="115"/>
      <c r="J35" s="115"/>
      <c r="K35" s="115"/>
      <c r="L35" s="115"/>
      <c r="M35" s="116"/>
      <c r="N35" s="25"/>
    </row>
    <row r="36" spans="2:14" outlineLevel="1" x14ac:dyDescent="0.25">
      <c r="B36" s="23"/>
      <c r="C36" s="10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5"/>
    </row>
    <row r="37" spans="2:14" s="4" customFormat="1" outlineLevel="1" x14ac:dyDescent="0.25">
      <c r="B37" s="23"/>
      <c r="C37" s="10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5"/>
    </row>
    <row r="38" spans="2:14" s="4" customFormat="1" outlineLevel="1" x14ac:dyDescent="0.25">
      <c r="B38" s="23"/>
      <c r="C38" s="19" t="s">
        <v>26</v>
      </c>
      <c r="D38" s="117" t="s">
        <v>21</v>
      </c>
      <c r="E38" s="119"/>
      <c r="F38" s="117" t="s">
        <v>27</v>
      </c>
      <c r="G38" s="119"/>
      <c r="H38" s="117" t="s">
        <v>28</v>
      </c>
      <c r="I38" s="118"/>
      <c r="J38" s="118"/>
      <c r="K38" s="118"/>
      <c r="L38" s="118"/>
      <c r="M38" s="119"/>
      <c r="N38" s="25"/>
    </row>
    <row r="39" spans="2:14" s="4" customFormat="1" outlineLevel="1" x14ac:dyDescent="0.25">
      <c r="B39" s="23"/>
      <c r="C39" s="13" t="s">
        <v>29</v>
      </c>
      <c r="D39" s="100"/>
      <c r="E39" s="101"/>
      <c r="F39" s="120"/>
      <c r="G39" s="122"/>
      <c r="H39" s="120"/>
      <c r="I39" s="121"/>
      <c r="J39" s="121"/>
      <c r="K39" s="121"/>
      <c r="L39" s="121"/>
      <c r="M39" s="122"/>
      <c r="N39" s="25"/>
    </row>
    <row r="40" spans="2:14" s="4" customFormat="1" outlineLevel="1" x14ac:dyDescent="0.25">
      <c r="B40" s="23"/>
      <c r="C40" s="13"/>
      <c r="D40" s="100"/>
      <c r="E40" s="101"/>
      <c r="F40" s="120"/>
      <c r="G40" s="122"/>
      <c r="H40" s="123"/>
      <c r="I40" s="124"/>
      <c r="J40" s="124"/>
      <c r="K40" s="124"/>
      <c r="L40" s="124"/>
      <c r="M40" s="125"/>
      <c r="N40" s="25"/>
    </row>
    <row r="41" spans="2:14" s="4" customFormat="1" outlineLevel="1" x14ac:dyDescent="0.25">
      <c r="B41" s="23"/>
      <c r="C41" s="13"/>
      <c r="D41" s="100"/>
      <c r="E41" s="101"/>
      <c r="F41" s="120"/>
      <c r="G41" s="122"/>
      <c r="H41" s="123"/>
      <c r="I41" s="124"/>
      <c r="J41" s="124"/>
      <c r="K41" s="124"/>
      <c r="L41" s="124"/>
      <c r="M41" s="125"/>
      <c r="N41" s="25"/>
    </row>
    <row r="42" spans="2:14" outlineLevel="1" x14ac:dyDescent="0.25">
      <c r="B42" s="27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9"/>
    </row>
    <row r="44" spans="2:14" s="4" customFormat="1" ht="15.6" x14ac:dyDescent="0.3">
      <c r="B44" s="15" t="s">
        <v>59</v>
      </c>
    </row>
    <row r="45" spans="2:14" s="4" customFormat="1" ht="18" customHeight="1" x14ac:dyDescent="0.25">
      <c r="B45" s="107" t="s">
        <v>60</v>
      </c>
      <c r="C45" s="107"/>
      <c r="D45" s="108" t="s">
        <v>58</v>
      </c>
      <c r="E45" s="108"/>
      <c r="F45" s="108"/>
      <c r="G45" s="53" t="s">
        <v>67</v>
      </c>
      <c r="H45" s="108" t="s">
        <v>30</v>
      </c>
      <c r="I45" s="108"/>
      <c r="J45" s="53" t="s">
        <v>43</v>
      </c>
      <c r="K45" s="53" t="s">
        <v>120</v>
      </c>
    </row>
    <row r="46" spans="2:14" s="59" customFormat="1" ht="12.75" customHeight="1" x14ac:dyDescent="0.25">
      <c r="B46" s="110"/>
      <c r="C46" s="110"/>
      <c r="D46" s="110"/>
      <c r="E46" s="110"/>
      <c r="F46" s="110"/>
      <c r="G46" s="57"/>
      <c r="H46" s="110"/>
      <c r="I46" s="110"/>
      <c r="J46" s="58"/>
      <c r="K46" s="58"/>
      <c r="L46" s="4"/>
      <c r="M46" s="4"/>
      <c r="N46" s="4"/>
    </row>
    <row r="47" spans="2:14" s="4" customFormat="1" x14ac:dyDescent="0.25">
      <c r="B47" s="109"/>
      <c r="C47" s="109"/>
      <c r="D47" s="106"/>
      <c r="E47" s="106"/>
      <c r="F47" s="106"/>
      <c r="G47" s="52"/>
      <c r="H47" s="106"/>
      <c r="I47" s="106"/>
      <c r="J47" s="51"/>
      <c r="K47" s="51"/>
    </row>
    <row r="48" spans="2:14" s="4" customFormat="1" x14ac:dyDescent="0.25">
      <c r="B48" s="109"/>
      <c r="C48" s="109"/>
      <c r="D48" s="106"/>
      <c r="E48" s="106"/>
      <c r="F48" s="106"/>
      <c r="G48" s="52"/>
      <c r="H48" s="106"/>
      <c r="I48" s="106"/>
      <c r="J48" s="51"/>
      <c r="K48" s="51"/>
    </row>
    <row r="49" spans="2:14" s="4" customFormat="1" x14ac:dyDescent="0.25">
      <c r="B49" s="109"/>
      <c r="C49" s="109"/>
      <c r="D49" s="106"/>
      <c r="E49" s="106"/>
      <c r="F49" s="106"/>
      <c r="G49" s="52"/>
      <c r="H49" s="106"/>
      <c r="I49" s="106"/>
      <c r="J49" s="51"/>
      <c r="K49" s="51"/>
    </row>
    <row r="50" spans="2:14" s="4" customFormat="1" x14ac:dyDescent="0.25">
      <c r="B50" s="109"/>
      <c r="C50" s="109"/>
      <c r="D50" s="106"/>
      <c r="E50" s="106"/>
      <c r="F50" s="106"/>
      <c r="G50" s="52"/>
      <c r="H50" s="106"/>
      <c r="I50" s="106"/>
      <c r="J50" s="51"/>
      <c r="K50" s="51"/>
    </row>
    <row r="51" spans="2:14" s="4" customFormat="1" x14ac:dyDescent="0.25">
      <c r="B51" s="109"/>
      <c r="C51" s="109"/>
      <c r="D51" s="106"/>
      <c r="E51" s="106"/>
      <c r="F51" s="106"/>
      <c r="G51" s="52"/>
      <c r="H51" s="106"/>
      <c r="I51" s="106"/>
      <c r="J51" s="51"/>
      <c r="K51" s="51"/>
    </row>
    <row r="52" spans="2:14" s="4" customFormat="1" x14ac:dyDescent="0.25">
      <c r="B52" s="109"/>
      <c r="C52" s="109"/>
      <c r="D52" s="106"/>
      <c r="E52" s="106"/>
      <c r="F52" s="106"/>
      <c r="G52" s="52"/>
      <c r="H52" s="106"/>
      <c r="I52" s="106"/>
      <c r="J52" s="51"/>
      <c r="K52" s="51"/>
    </row>
    <row r="53" spans="2:14" s="4" customFormat="1" x14ac:dyDescent="0.25">
      <c r="B53" s="109"/>
      <c r="C53" s="109"/>
      <c r="D53" s="106"/>
      <c r="E53" s="106"/>
      <c r="F53" s="106"/>
      <c r="G53" s="52"/>
      <c r="H53" s="106"/>
      <c r="I53" s="106"/>
      <c r="J53" s="51"/>
      <c r="K53" s="51"/>
    </row>
    <row r="54" spans="2:14" s="4" customFormat="1" x14ac:dyDescent="0.25">
      <c r="B54" s="109"/>
      <c r="C54" s="109"/>
      <c r="D54" s="106"/>
      <c r="E54" s="106"/>
      <c r="F54" s="106"/>
      <c r="G54" s="52"/>
      <c r="H54" s="106"/>
      <c r="I54" s="106"/>
      <c r="J54" s="51"/>
      <c r="K54" s="51"/>
    </row>
    <row r="55" spans="2:14" s="4" customFormat="1" x14ac:dyDescent="0.25">
      <c r="B55" s="109"/>
      <c r="C55" s="109"/>
      <c r="D55" s="106"/>
      <c r="E55" s="106"/>
      <c r="F55" s="106"/>
      <c r="G55" s="52"/>
      <c r="H55" s="106"/>
      <c r="I55" s="106"/>
      <c r="J55" s="51"/>
      <c r="K55" s="51"/>
    </row>
    <row r="56" spans="2:14" s="4" customFormat="1" x14ac:dyDescent="0.25">
      <c r="B56" s="109"/>
      <c r="C56" s="109"/>
      <c r="D56" s="106"/>
      <c r="E56" s="106"/>
      <c r="F56" s="106"/>
      <c r="G56" s="52"/>
      <c r="H56" s="106"/>
      <c r="I56" s="106"/>
      <c r="J56" s="51"/>
      <c r="K56" s="51"/>
    </row>
    <row r="57" spans="2:14" s="4" customFormat="1" x14ac:dyDescent="0.25">
      <c r="B57" s="109"/>
      <c r="C57" s="109"/>
      <c r="D57" s="106"/>
      <c r="E57" s="106"/>
      <c r="F57" s="106"/>
      <c r="G57" s="52"/>
      <c r="H57" s="106"/>
      <c r="I57" s="106"/>
      <c r="J57" s="51"/>
      <c r="K57" s="51"/>
    </row>
    <row r="58" spans="2:14" s="4" customFormat="1" x14ac:dyDescent="0.25"/>
    <row r="59" spans="2:14" ht="15.6" x14ac:dyDescent="0.3">
      <c r="B59" s="15" t="s">
        <v>61</v>
      </c>
      <c r="C59" s="4"/>
      <c r="D59" s="4"/>
      <c r="F59" s="4"/>
      <c r="G59" s="4"/>
      <c r="H59" s="4"/>
      <c r="J59" s="4"/>
      <c r="K59" s="4"/>
      <c r="L59" s="4"/>
      <c r="N59" s="4"/>
    </row>
    <row r="60" spans="2:14" outlineLevel="1" x14ac:dyDescent="0.25">
      <c r="B60" s="20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2"/>
    </row>
    <row r="61" spans="2:14" s="4" customFormat="1" ht="10.5" customHeight="1" outlineLevel="1" x14ac:dyDescent="0.25">
      <c r="B61" s="23"/>
      <c r="C61" s="26"/>
      <c r="D61" s="24"/>
      <c r="E61" s="24"/>
      <c r="F61" s="24"/>
      <c r="G61" s="24"/>
      <c r="H61" s="24"/>
      <c r="I61" s="26"/>
      <c r="J61" s="24"/>
      <c r="K61" s="24"/>
      <c r="L61" s="24"/>
      <c r="M61" s="24"/>
      <c r="N61" s="25"/>
    </row>
    <row r="62" spans="2:14" ht="12.75" customHeight="1" outlineLevel="1" x14ac:dyDescent="0.25">
      <c r="B62" s="23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5"/>
    </row>
    <row r="63" spans="2:14" ht="20.100000000000001" customHeight="1" outlineLevel="1" x14ac:dyDescent="0.25">
      <c r="B63" s="23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5"/>
    </row>
    <row r="64" spans="2:14" s="4" customFormat="1" ht="20.100000000000001" customHeight="1" outlineLevel="1" x14ac:dyDescent="0.25">
      <c r="B64" s="23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5"/>
    </row>
    <row r="65" spans="2:14" s="4" customFormat="1" ht="11.25" customHeight="1" outlineLevel="1" x14ac:dyDescent="0.25">
      <c r="B65" s="23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5"/>
    </row>
    <row r="66" spans="2:14" s="6" customFormat="1" ht="24" customHeight="1" outlineLevel="1" x14ac:dyDescent="0.25">
      <c r="B66" s="23"/>
      <c r="C66" s="26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5"/>
    </row>
    <row r="67" spans="2:14" s="6" customFormat="1" ht="20.100000000000001" customHeight="1" outlineLevel="1" x14ac:dyDescent="0.25">
      <c r="B67" s="23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5"/>
    </row>
    <row r="68" spans="2:14" ht="20.100000000000001" customHeight="1" outlineLevel="1" x14ac:dyDescent="0.25">
      <c r="B68" s="23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5"/>
    </row>
    <row r="69" spans="2:14" s="4" customFormat="1" ht="19.5" customHeight="1" outlineLevel="1" x14ac:dyDescent="0.25">
      <c r="B69" s="23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5"/>
    </row>
    <row r="70" spans="2:14" outlineLevel="1" x14ac:dyDescent="0.25">
      <c r="B70" s="27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9"/>
    </row>
  </sheetData>
  <customSheetViews>
    <customSheetView guid="{2E70E708-B73C-4323-9253-4875EF82DB2B}" scale="90" showGridLines="0" hiddenRows="1">
      <pane ySplit="2" topLeftCell="A3" activePane="bottomLeft" state="frozen"/>
      <selection pane="bottomLeft" activeCell="R12" sqref="R12"/>
    </customSheetView>
  </customSheetViews>
  <mergeCells count="70">
    <mergeCell ref="C33:M33"/>
    <mergeCell ref="C35:M35"/>
    <mergeCell ref="H38:M38"/>
    <mergeCell ref="H45:I45"/>
    <mergeCell ref="D38:E38"/>
    <mergeCell ref="D39:E39"/>
    <mergeCell ref="D40:E40"/>
    <mergeCell ref="D41:E41"/>
    <mergeCell ref="H39:M39"/>
    <mergeCell ref="H40:M40"/>
    <mergeCell ref="H41:M41"/>
    <mergeCell ref="F38:G38"/>
    <mergeCell ref="F39:G39"/>
    <mergeCell ref="F40:G40"/>
    <mergeCell ref="F41:G41"/>
    <mergeCell ref="C26:D26"/>
    <mergeCell ref="G26:H26"/>
    <mergeCell ref="K26:L26"/>
    <mergeCell ref="G27:H27"/>
    <mergeCell ref="C30:E30"/>
    <mergeCell ref="G30:H30"/>
    <mergeCell ref="B49:C49"/>
    <mergeCell ref="B50:C50"/>
    <mergeCell ref="B48:C48"/>
    <mergeCell ref="D46:F46"/>
    <mergeCell ref="D47:F47"/>
    <mergeCell ref="D49:F49"/>
    <mergeCell ref="B57:C57"/>
    <mergeCell ref="H46:I46"/>
    <mergeCell ref="H47:I47"/>
    <mergeCell ref="H48:I48"/>
    <mergeCell ref="H49:I49"/>
    <mergeCell ref="H50:I50"/>
    <mergeCell ref="H51:I51"/>
    <mergeCell ref="H52:I52"/>
    <mergeCell ref="H53:I53"/>
    <mergeCell ref="H54:I54"/>
    <mergeCell ref="H55:I55"/>
    <mergeCell ref="H56:I56"/>
    <mergeCell ref="H57:I57"/>
    <mergeCell ref="B51:C51"/>
    <mergeCell ref="D55:F55"/>
    <mergeCell ref="B52:C52"/>
    <mergeCell ref="D56:F56"/>
    <mergeCell ref="D57:F57"/>
    <mergeCell ref="B45:C45"/>
    <mergeCell ref="D45:F45"/>
    <mergeCell ref="D50:F50"/>
    <mergeCell ref="D51:F51"/>
    <mergeCell ref="D52:F52"/>
    <mergeCell ref="D53:F53"/>
    <mergeCell ref="D54:F54"/>
    <mergeCell ref="B53:C53"/>
    <mergeCell ref="B54:C54"/>
    <mergeCell ref="B55:C55"/>
    <mergeCell ref="B46:C46"/>
    <mergeCell ref="B47:C47"/>
    <mergeCell ref="D48:F48"/>
    <mergeCell ref="B56:C56"/>
    <mergeCell ref="G25:H25"/>
    <mergeCell ref="C2:O2"/>
    <mergeCell ref="C24:D24"/>
    <mergeCell ref="G24:H24"/>
    <mergeCell ref="K24:L24"/>
    <mergeCell ref="H12:I12"/>
    <mergeCell ref="F8:G8"/>
    <mergeCell ref="C12:F12"/>
    <mergeCell ref="L8:M8"/>
    <mergeCell ref="C10:M10"/>
    <mergeCell ref="K12:M12"/>
  </mergeCells>
  <conditionalFormatting sqref="O10">
    <cfRule type="iconSet" priority="2">
      <iconSet>
        <cfvo type="percent" val="0"/>
        <cfvo type="percent" val="33"/>
        <cfvo type="percent" val="67"/>
      </iconSet>
    </cfRule>
  </conditionalFormatting>
  <dataValidations count="3">
    <dataValidation type="textLength" operator="equal" allowBlank="1" showInputMessage="1" showErrorMessage="1" error="The TSAP information consists of 8 digitis" sqref="G24 G26">
      <formula1>8</formula1>
    </dataValidation>
    <dataValidation type="textLength" operator="equal" allowBlank="1" showInputMessage="1" showErrorMessage="1" error="The IPS-L Destination consists of 8 digits" sqref="G15 C15">
      <formula1>8</formula1>
    </dataValidation>
    <dataValidation type="textLength" operator="equal" allowBlank="1" showInputMessage="1" showErrorMessage="1" error="The PLC AKZ consists of 8 digits" sqref="H12">
      <formula1>8</formula1>
    </dataValidation>
  </dataValidations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  <rowBreaks count="1" manualBreakCount="1">
    <brk id="43" max="13" man="1"/>
  </rowBreaks>
  <drawing r:id="rId2"/>
  <legacyDrawing r:id="rId3"/>
  <controls>
    <mc:AlternateContent xmlns:mc="http://schemas.openxmlformats.org/markup-compatibility/2006">
      <mc:Choice Requires="x14">
        <control shapeId="11274" r:id="rId4" name="SPSDELET">
          <controlPr defaultSize="0" autoLine="0" r:id="rId5">
            <anchor moveWithCells="1">
              <from>
                <xdr:col>7</xdr:col>
                <xdr:colOff>541020</xdr:colOff>
                <xdr:row>59</xdr:row>
                <xdr:rowOff>137160</xdr:rowOff>
              </from>
              <to>
                <xdr:col>10</xdr:col>
                <xdr:colOff>182880</xdr:colOff>
                <xdr:row>61</xdr:row>
                <xdr:rowOff>91440</xdr:rowOff>
              </to>
            </anchor>
          </controlPr>
        </control>
      </mc:Choice>
      <mc:Fallback>
        <control shapeId="11274" r:id="rId4" name="SPSDELET"/>
      </mc:Fallback>
    </mc:AlternateContent>
    <mc:AlternateContent xmlns:mc="http://schemas.openxmlformats.org/markup-compatibility/2006">
      <mc:Choice Requires="x14">
        <control shapeId="11273" r:id="rId6" name="SPSDATEN">
          <controlPr defaultSize="0" autoLine="0" r:id="rId7">
            <anchor moveWithCells="1">
              <from>
                <xdr:col>1</xdr:col>
                <xdr:colOff>670560</xdr:colOff>
                <xdr:row>59</xdr:row>
                <xdr:rowOff>99060</xdr:rowOff>
              </from>
              <to>
                <xdr:col>3</xdr:col>
                <xdr:colOff>441960</xdr:colOff>
                <xdr:row>61</xdr:row>
                <xdr:rowOff>68580</xdr:rowOff>
              </to>
            </anchor>
          </controlPr>
        </control>
      </mc:Choice>
      <mc:Fallback>
        <control shapeId="11273" r:id="rId6" name="SPSDATEN"/>
      </mc:Fallback>
    </mc:AlternateContent>
    <mc:AlternateContent xmlns:mc="http://schemas.openxmlformats.org/markup-compatibility/2006">
      <mc:Choice Requires="x14">
        <control shapeId="11276" r:id="rId8" name="SPSFRGIO">
          <controlPr defaultSize="0" autoLine="0" r:id="rId9">
            <anchor moveWithCells="1">
              <from>
                <xdr:col>7</xdr:col>
                <xdr:colOff>533400</xdr:colOff>
                <xdr:row>65</xdr:row>
                <xdr:rowOff>106680</xdr:rowOff>
              </from>
              <to>
                <xdr:col>10</xdr:col>
                <xdr:colOff>175260</xdr:colOff>
                <xdr:row>66</xdr:row>
                <xdr:rowOff>53340</xdr:rowOff>
              </to>
            </anchor>
          </controlPr>
        </control>
      </mc:Choice>
      <mc:Fallback>
        <control shapeId="11276" r:id="rId8" name="SPSFRGIO"/>
      </mc:Fallback>
    </mc:AlternateContent>
    <mc:AlternateContent xmlns:mc="http://schemas.openxmlformats.org/markup-compatibility/2006">
      <mc:Choice Requires="x14">
        <control shapeId="11279" r:id="rId10" name="CP_Communication">
          <controlPr defaultSize="0" autoLine="0" r:id="rId11">
            <anchor moveWithCells="1">
              <from>
                <xdr:col>3</xdr:col>
                <xdr:colOff>457200</xdr:colOff>
                <xdr:row>19</xdr:row>
                <xdr:rowOff>121920</xdr:rowOff>
              </from>
              <to>
                <xdr:col>6</xdr:col>
                <xdr:colOff>571500</xdr:colOff>
                <xdr:row>21</xdr:row>
                <xdr:rowOff>60960</xdr:rowOff>
              </to>
            </anchor>
          </controlPr>
        </control>
      </mc:Choice>
      <mc:Fallback>
        <control shapeId="11279" r:id="rId10" name="CP_Communic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16"/>
  <sheetViews>
    <sheetView showGridLines="0" zoomScaleNormal="100" workbookViewId="0">
      <selection activeCell="D13" sqref="D13"/>
    </sheetView>
  </sheetViews>
  <sheetFormatPr baseColWidth="10" defaultRowHeight="13.2" x14ac:dyDescent="0.25"/>
  <cols>
    <col min="1" max="1" width="3.6640625" customWidth="1"/>
    <col min="2" max="6" width="14.6640625" customWidth="1"/>
    <col min="7" max="7" width="60.6640625" customWidth="1"/>
  </cols>
  <sheetData>
    <row r="2" spans="2:7" ht="21" x14ac:dyDescent="0.4">
      <c r="B2" s="7" t="s">
        <v>103</v>
      </c>
    </row>
    <row r="4" spans="2:7" x14ac:dyDescent="0.25">
      <c r="B4" s="5" t="s">
        <v>69</v>
      </c>
    </row>
    <row r="5" spans="2:7" s="4" customFormat="1" x14ac:dyDescent="0.25">
      <c r="B5" s="5"/>
    </row>
    <row r="6" spans="2:7" ht="13.8" thickBot="1" x14ac:dyDescent="0.3"/>
    <row r="7" spans="2:7" ht="16.2" thickBot="1" x14ac:dyDescent="0.3">
      <c r="B7" s="1" t="s">
        <v>10</v>
      </c>
      <c r="C7" s="2" t="s">
        <v>11</v>
      </c>
      <c r="D7" s="3" t="s">
        <v>12</v>
      </c>
      <c r="E7" s="2" t="s">
        <v>13</v>
      </c>
      <c r="F7" s="2" t="s">
        <v>102</v>
      </c>
      <c r="G7" s="2" t="s">
        <v>14</v>
      </c>
    </row>
    <row r="8" spans="2:7" ht="26.25" customHeight="1" thickBot="1" x14ac:dyDescent="0.3">
      <c r="B8" s="30" t="s">
        <v>0</v>
      </c>
      <c r="C8" s="31">
        <v>8</v>
      </c>
      <c r="D8" s="35" t="s">
        <v>34</v>
      </c>
      <c r="E8" s="63" t="str">
        <f>Filled_by_requestor!H12</f>
        <v>FM52MO01</v>
      </c>
      <c r="F8" s="36" t="s">
        <v>16</v>
      </c>
      <c r="G8" s="37" t="s">
        <v>18</v>
      </c>
    </row>
    <row r="9" spans="2:7" ht="26.25" customHeight="1" thickBot="1" x14ac:dyDescent="0.3">
      <c r="B9" s="32" t="s">
        <v>1</v>
      </c>
      <c r="C9" s="33">
        <v>8</v>
      </c>
      <c r="D9" s="38" t="s">
        <v>35</v>
      </c>
      <c r="E9" s="63" t="str">
        <f>Filled_by_requestor!C15</f>
        <v>ST005607</v>
      </c>
      <c r="F9" s="36" t="s">
        <v>16</v>
      </c>
      <c r="G9" s="39" t="s">
        <v>98</v>
      </c>
    </row>
    <row r="10" spans="2:7" ht="26.25" customHeight="1" thickBot="1" x14ac:dyDescent="0.3">
      <c r="B10" s="32" t="s">
        <v>2</v>
      </c>
      <c r="C10" s="33">
        <v>8</v>
      </c>
      <c r="D10" s="38" t="s">
        <v>5</v>
      </c>
      <c r="E10" s="64" t="s">
        <v>30</v>
      </c>
      <c r="F10" s="36" t="s">
        <v>16</v>
      </c>
      <c r="G10" s="34" t="s">
        <v>15</v>
      </c>
    </row>
    <row r="11" spans="2:7" ht="26.25" customHeight="1" thickBot="1" x14ac:dyDescent="0.3">
      <c r="B11" s="32" t="s">
        <v>3</v>
      </c>
      <c r="C11" s="33">
        <v>4</v>
      </c>
      <c r="D11" s="38" t="s">
        <v>7</v>
      </c>
      <c r="E11" s="64" t="s">
        <v>78</v>
      </c>
      <c r="F11" s="36" t="s">
        <v>16</v>
      </c>
      <c r="G11" s="34" t="s">
        <v>112</v>
      </c>
    </row>
    <row r="12" spans="2:7" ht="26.25" customHeight="1" thickBot="1" x14ac:dyDescent="0.3">
      <c r="B12" s="32" t="s">
        <v>4</v>
      </c>
      <c r="C12" s="33">
        <v>4</v>
      </c>
      <c r="D12" s="38" t="s">
        <v>31</v>
      </c>
      <c r="E12" s="65" t="s">
        <v>76</v>
      </c>
      <c r="F12" s="40" t="s">
        <v>17</v>
      </c>
      <c r="G12" s="34" t="s">
        <v>73</v>
      </c>
    </row>
    <row r="13" spans="2:7" ht="26.25" customHeight="1" thickBot="1" x14ac:dyDescent="0.3">
      <c r="B13" s="41" t="s">
        <v>36</v>
      </c>
      <c r="C13" s="33">
        <v>2</v>
      </c>
      <c r="D13" s="38" t="s">
        <v>33</v>
      </c>
      <c r="E13" s="63" t="str">
        <f>Filled_by_requestor!F15</f>
        <v>FZ</v>
      </c>
      <c r="F13" s="36" t="s">
        <v>16</v>
      </c>
      <c r="G13" s="34" t="s">
        <v>9</v>
      </c>
    </row>
    <row r="14" spans="2:7" s="4" customFormat="1" ht="26.25" customHeight="1" thickBot="1" x14ac:dyDescent="0.3">
      <c r="B14" s="41" t="s">
        <v>99</v>
      </c>
      <c r="C14" s="33">
        <v>8</v>
      </c>
      <c r="D14" s="38" t="s">
        <v>38</v>
      </c>
      <c r="E14" s="64" t="s">
        <v>101</v>
      </c>
      <c r="F14" s="36" t="s">
        <v>16</v>
      </c>
      <c r="G14" s="62" t="s">
        <v>100</v>
      </c>
    </row>
    <row r="15" spans="2:7" s="4" customFormat="1" ht="26.25" customHeight="1" thickBot="1" x14ac:dyDescent="0.3">
      <c r="B15" s="41" t="s">
        <v>124</v>
      </c>
      <c r="C15" s="33">
        <v>4</v>
      </c>
      <c r="D15" s="38" t="s">
        <v>39</v>
      </c>
      <c r="E15" s="64" t="s">
        <v>76</v>
      </c>
      <c r="F15" s="40" t="s">
        <v>17</v>
      </c>
      <c r="G15" s="34" t="s">
        <v>41</v>
      </c>
    </row>
    <row r="16" spans="2:7" s="4" customFormat="1" ht="26.25" customHeight="1" thickBot="1" x14ac:dyDescent="0.3">
      <c r="B16" s="42" t="s">
        <v>125</v>
      </c>
      <c r="C16" s="43">
        <v>14</v>
      </c>
      <c r="D16" s="44" t="s">
        <v>50</v>
      </c>
      <c r="E16" s="66"/>
      <c r="F16" s="45"/>
      <c r="G16" s="46" t="s">
        <v>126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H16"/>
  <sheetViews>
    <sheetView showGridLines="0" zoomScaleNormal="100" workbookViewId="0"/>
  </sheetViews>
  <sheetFormatPr baseColWidth="10" defaultRowHeight="13.2" x14ac:dyDescent="0.25"/>
  <cols>
    <col min="1" max="1" width="3.6640625" customWidth="1"/>
    <col min="2" max="6" width="14.6640625" customWidth="1"/>
    <col min="7" max="7" width="60.6640625" customWidth="1"/>
  </cols>
  <sheetData>
    <row r="2" spans="2:8" ht="21" x14ac:dyDescent="0.4">
      <c r="B2" s="7" t="s">
        <v>104</v>
      </c>
      <c r="C2" s="4"/>
      <c r="D2" s="4"/>
      <c r="E2" s="4"/>
      <c r="F2" s="4"/>
      <c r="G2" s="4"/>
    </row>
    <row r="3" spans="2:8" x14ac:dyDescent="0.25">
      <c r="B3" s="4"/>
      <c r="C3" s="4"/>
      <c r="D3" s="4"/>
      <c r="E3" s="4"/>
      <c r="F3" s="4"/>
      <c r="G3" s="4"/>
    </row>
    <row r="4" spans="2:8" x14ac:dyDescent="0.25">
      <c r="B4" s="5" t="s">
        <v>70</v>
      </c>
      <c r="C4" s="4"/>
      <c r="D4" s="4"/>
      <c r="E4" s="4"/>
      <c r="F4" s="4"/>
      <c r="G4" s="4"/>
    </row>
    <row r="5" spans="2:8" s="4" customFormat="1" x14ac:dyDescent="0.25">
      <c r="B5" s="5"/>
    </row>
    <row r="6" spans="2:8" ht="13.8" thickBot="1" x14ac:dyDescent="0.3">
      <c r="B6" s="4"/>
      <c r="C6" s="4"/>
      <c r="D6" s="4"/>
      <c r="E6" s="4"/>
      <c r="F6" s="4"/>
      <c r="G6" s="4"/>
    </row>
    <row r="7" spans="2:8" ht="16.2" thickBot="1" x14ac:dyDescent="0.3">
      <c r="B7" s="1" t="s">
        <v>10</v>
      </c>
      <c r="C7" s="2" t="s">
        <v>11</v>
      </c>
      <c r="D7" s="3" t="s">
        <v>12</v>
      </c>
      <c r="E7" s="2" t="s">
        <v>13</v>
      </c>
      <c r="F7" s="2" t="s">
        <v>102</v>
      </c>
      <c r="G7" s="2" t="s">
        <v>14</v>
      </c>
    </row>
    <row r="8" spans="2:8" ht="26.25" customHeight="1" thickBot="1" x14ac:dyDescent="0.3">
      <c r="B8" s="30" t="s">
        <v>0</v>
      </c>
      <c r="C8" s="31">
        <v>8</v>
      </c>
      <c r="D8" s="35" t="s">
        <v>34</v>
      </c>
      <c r="E8" s="63" t="str">
        <f>Filled_by_requestor!H12</f>
        <v>FM52MO01</v>
      </c>
      <c r="F8" s="36" t="s">
        <v>16</v>
      </c>
      <c r="G8" s="37" t="s">
        <v>18</v>
      </c>
    </row>
    <row r="9" spans="2:8" ht="26.25" customHeight="1" thickBot="1" x14ac:dyDescent="0.3">
      <c r="B9" s="32" t="s">
        <v>1</v>
      </c>
      <c r="C9" s="33">
        <v>8</v>
      </c>
      <c r="D9" s="38" t="s">
        <v>35</v>
      </c>
      <c r="E9" s="63" t="str">
        <f>Filled_by_requestor!C15</f>
        <v>ST005607</v>
      </c>
      <c r="F9" s="36" t="s">
        <v>16</v>
      </c>
      <c r="G9" s="39" t="s">
        <v>98</v>
      </c>
    </row>
    <row r="10" spans="2:8" ht="26.25" customHeight="1" thickBot="1" x14ac:dyDescent="0.3">
      <c r="B10" s="32" t="s">
        <v>2</v>
      </c>
      <c r="C10" s="33">
        <v>8</v>
      </c>
      <c r="D10" s="38" t="s">
        <v>5</v>
      </c>
      <c r="E10" s="64" t="s">
        <v>43</v>
      </c>
      <c r="F10" s="36" t="s">
        <v>16</v>
      </c>
      <c r="G10" s="34" t="s">
        <v>15</v>
      </c>
    </row>
    <row r="11" spans="2:8" ht="26.25" customHeight="1" thickBot="1" x14ac:dyDescent="0.3">
      <c r="B11" s="32" t="s">
        <v>3</v>
      </c>
      <c r="C11" s="33">
        <v>4</v>
      </c>
      <c r="D11" s="38" t="s">
        <v>7</v>
      </c>
      <c r="E11" s="64" t="s">
        <v>78</v>
      </c>
      <c r="F11" s="36" t="s">
        <v>16</v>
      </c>
      <c r="G11" s="34" t="s">
        <v>112</v>
      </c>
      <c r="H11" s="5"/>
    </row>
    <row r="12" spans="2:8" ht="26.25" customHeight="1" thickBot="1" x14ac:dyDescent="0.3">
      <c r="B12" s="32" t="s">
        <v>4</v>
      </c>
      <c r="C12" s="33">
        <v>4</v>
      </c>
      <c r="D12" s="38" t="s">
        <v>31</v>
      </c>
      <c r="E12" s="65" t="s">
        <v>76</v>
      </c>
      <c r="F12" s="40" t="s">
        <v>17</v>
      </c>
      <c r="G12" s="34" t="s">
        <v>73</v>
      </c>
    </row>
    <row r="13" spans="2:8" ht="26.25" customHeight="1" thickBot="1" x14ac:dyDescent="0.3">
      <c r="B13" s="41" t="s">
        <v>36</v>
      </c>
      <c r="C13" s="33">
        <v>2</v>
      </c>
      <c r="D13" s="38" t="s">
        <v>33</v>
      </c>
      <c r="E13" s="63" t="str">
        <f>Filled_by_requestor!F15</f>
        <v>FZ</v>
      </c>
      <c r="F13" s="36" t="s">
        <v>16</v>
      </c>
      <c r="G13" s="34" t="s">
        <v>9</v>
      </c>
    </row>
    <row r="14" spans="2:8" ht="26.25" customHeight="1" thickBot="1" x14ac:dyDescent="0.3">
      <c r="B14" s="41" t="s">
        <v>99</v>
      </c>
      <c r="C14" s="33">
        <v>8</v>
      </c>
      <c r="D14" s="38" t="s">
        <v>38</v>
      </c>
      <c r="E14" s="64" t="s">
        <v>107</v>
      </c>
      <c r="F14" s="36" t="s">
        <v>16</v>
      </c>
      <c r="G14" s="34" t="s">
        <v>108</v>
      </c>
      <c r="H14" s="4"/>
    </row>
    <row r="15" spans="2:8" ht="26.25" customHeight="1" thickBot="1" x14ac:dyDescent="0.3">
      <c r="B15" s="41" t="s">
        <v>124</v>
      </c>
      <c r="C15" s="33">
        <v>4</v>
      </c>
      <c r="D15" s="38" t="s">
        <v>39</v>
      </c>
      <c r="E15" s="64" t="s">
        <v>76</v>
      </c>
      <c r="F15" s="40" t="s">
        <v>17</v>
      </c>
      <c r="G15" s="34" t="s">
        <v>41</v>
      </c>
    </row>
    <row r="16" spans="2:8" ht="26.25" customHeight="1" thickBot="1" x14ac:dyDescent="0.3">
      <c r="B16" s="42" t="s">
        <v>125</v>
      </c>
      <c r="C16" s="43">
        <v>14</v>
      </c>
      <c r="D16" s="44" t="s">
        <v>50</v>
      </c>
      <c r="E16" s="66"/>
      <c r="F16" s="45"/>
      <c r="G16" s="46" t="s">
        <v>126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G16"/>
  <sheetViews>
    <sheetView showGridLines="0" zoomScaleNormal="100" workbookViewId="0"/>
  </sheetViews>
  <sheetFormatPr baseColWidth="10" defaultColWidth="11.44140625" defaultRowHeight="13.2" x14ac:dyDescent="0.25"/>
  <cols>
    <col min="1" max="1" width="3.6640625" style="4" customWidth="1"/>
    <col min="2" max="6" width="14.6640625" style="4" customWidth="1"/>
    <col min="7" max="7" width="60.6640625" style="4" customWidth="1"/>
    <col min="8" max="16384" width="11.44140625" style="4"/>
  </cols>
  <sheetData>
    <row r="2" spans="2:7" ht="21" x14ac:dyDescent="0.4">
      <c r="B2" s="7" t="s">
        <v>109</v>
      </c>
    </row>
    <row r="4" spans="2:7" x14ac:dyDescent="0.25">
      <c r="B4" s="55" t="s">
        <v>105</v>
      </c>
      <c r="C4" s="55"/>
      <c r="D4" s="55"/>
      <c r="E4" s="55"/>
      <c r="F4" s="55"/>
      <c r="G4" s="55"/>
    </row>
    <row r="5" spans="2:7" x14ac:dyDescent="0.25">
      <c r="B5" s="54" t="s">
        <v>106</v>
      </c>
      <c r="C5" s="50"/>
      <c r="D5" s="50"/>
      <c r="E5" s="50"/>
      <c r="F5" s="50"/>
      <c r="G5" s="50"/>
    </row>
    <row r="6" spans="2:7" ht="13.8" thickBot="1" x14ac:dyDescent="0.3">
      <c r="B6" s="5"/>
    </row>
    <row r="7" spans="2:7" ht="16.2" thickBot="1" x14ac:dyDescent="0.3">
      <c r="B7" s="1" t="s">
        <v>10</v>
      </c>
      <c r="C7" s="2" t="s">
        <v>11</v>
      </c>
      <c r="D7" s="3" t="s">
        <v>12</v>
      </c>
      <c r="E7" s="2" t="s">
        <v>13</v>
      </c>
      <c r="F7" s="2" t="s">
        <v>102</v>
      </c>
      <c r="G7" s="2" t="s">
        <v>14</v>
      </c>
    </row>
    <row r="8" spans="2:7" ht="26.25" customHeight="1" thickBot="1" x14ac:dyDescent="0.3">
      <c r="B8" s="30" t="s">
        <v>0</v>
      </c>
      <c r="C8" s="31">
        <v>8</v>
      </c>
      <c r="D8" s="35" t="s">
        <v>34</v>
      </c>
      <c r="E8" s="63" t="str">
        <f>Filled_by_requestor!C15</f>
        <v>ST005607</v>
      </c>
      <c r="F8" s="36" t="s">
        <v>16</v>
      </c>
      <c r="G8" s="39" t="s">
        <v>110</v>
      </c>
    </row>
    <row r="9" spans="2:7" ht="26.25" customHeight="1" thickBot="1" x14ac:dyDescent="0.3">
      <c r="B9" s="32" t="s">
        <v>1</v>
      </c>
      <c r="C9" s="33">
        <v>8</v>
      </c>
      <c r="D9" s="38" t="s">
        <v>35</v>
      </c>
      <c r="E9" s="63" t="str">
        <f>Filled_by_requestor!H12</f>
        <v>FM52MO01</v>
      </c>
      <c r="F9" s="36" t="s">
        <v>16</v>
      </c>
      <c r="G9" s="39" t="s">
        <v>111</v>
      </c>
    </row>
    <row r="10" spans="2:7" ht="26.25" customHeight="1" thickBot="1" x14ac:dyDescent="0.3">
      <c r="B10" s="32" t="s">
        <v>2</v>
      </c>
      <c r="C10" s="33">
        <v>8</v>
      </c>
      <c r="D10" s="38" t="s">
        <v>5</v>
      </c>
      <c r="E10" s="64" t="s">
        <v>120</v>
      </c>
      <c r="F10" s="36" t="s">
        <v>16</v>
      </c>
      <c r="G10" s="34" t="s">
        <v>15</v>
      </c>
    </row>
    <row r="11" spans="2:7" ht="26.25" customHeight="1" thickBot="1" x14ac:dyDescent="0.3">
      <c r="B11" s="32" t="s">
        <v>3</v>
      </c>
      <c r="C11" s="33">
        <v>4</v>
      </c>
      <c r="D11" s="38" t="s">
        <v>7</v>
      </c>
      <c r="E11" s="64" t="s">
        <v>78</v>
      </c>
      <c r="F11" s="36" t="s">
        <v>16</v>
      </c>
      <c r="G11" s="34" t="s">
        <v>112</v>
      </c>
    </row>
    <row r="12" spans="2:7" ht="26.25" customHeight="1" thickBot="1" x14ac:dyDescent="0.3">
      <c r="B12" s="32" t="s">
        <v>4</v>
      </c>
      <c r="C12" s="33">
        <v>4</v>
      </c>
      <c r="D12" s="38" t="s">
        <v>31</v>
      </c>
      <c r="E12" s="65" t="s">
        <v>76</v>
      </c>
      <c r="F12" s="40" t="s">
        <v>17</v>
      </c>
      <c r="G12" s="34" t="s">
        <v>74</v>
      </c>
    </row>
    <row r="13" spans="2:7" ht="26.25" customHeight="1" thickBot="1" x14ac:dyDescent="0.3">
      <c r="B13" s="41" t="s">
        <v>115</v>
      </c>
      <c r="C13" s="33">
        <v>4</v>
      </c>
      <c r="D13" s="38" t="s">
        <v>113</v>
      </c>
      <c r="E13" s="63" t="s">
        <v>114</v>
      </c>
      <c r="F13" s="36" t="s">
        <v>16</v>
      </c>
      <c r="G13" s="34" t="s">
        <v>118</v>
      </c>
    </row>
    <row r="14" spans="2:7" ht="26.25" customHeight="1" thickBot="1" x14ac:dyDescent="0.3">
      <c r="B14" s="41" t="s">
        <v>116</v>
      </c>
      <c r="C14" s="33">
        <v>6</v>
      </c>
      <c r="D14" s="38" t="s">
        <v>50</v>
      </c>
      <c r="E14" s="64"/>
      <c r="F14" s="36" t="s">
        <v>16</v>
      </c>
      <c r="G14" s="34" t="s">
        <v>117</v>
      </c>
    </row>
    <row r="15" spans="2:7" ht="26.25" customHeight="1" thickBot="1" x14ac:dyDescent="0.3">
      <c r="B15" s="41" t="s">
        <v>124</v>
      </c>
      <c r="C15" s="33">
        <v>4</v>
      </c>
      <c r="D15" s="38" t="s">
        <v>39</v>
      </c>
      <c r="E15" s="64" t="s">
        <v>76</v>
      </c>
      <c r="F15" s="40" t="s">
        <v>17</v>
      </c>
      <c r="G15" s="34" t="s">
        <v>41</v>
      </c>
    </row>
    <row r="16" spans="2:7" ht="26.25" customHeight="1" thickBot="1" x14ac:dyDescent="0.3">
      <c r="B16" s="42" t="s">
        <v>125</v>
      </c>
      <c r="C16" s="43">
        <v>14</v>
      </c>
      <c r="D16" s="44" t="s">
        <v>50</v>
      </c>
      <c r="E16" s="66"/>
      <c r="F16" s="45"/>
      <c r="G16" s="46" t="s">
        <v>126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4.9989318521683403E-2"/>
  </sheetPr>
  <dimension ref="B1:H14"/>
  <sheetViews>
    <sheetView zoomScaleNormal="100" workbookViewId="0">
      <selection activeCell="B14" sqref="B14"/>
    </sheetView>
  </sheetViews>
  <sheetFormatPr baseColWidth="10" defaultRowHeight="14.4" x14ac:dyDescent="0.3"/>
  <cols>
    <col min="1" max="1" width="2.77734375" style="137" customWidth="1"/>
    <col min="2" max="3" width="11.5546875" style="137"/>
    <col min="4" max="4" width="15.21875" style="137" bestFit="1" customWidth="1"/>
    <col min="5" max="5" width="19.21875" style="137" bestFit="1" customWidth="1"/>
    <col min="6" max="6" width="14.44140625" style="137" bestFit="1" customWidth="1"/>
    <col min="7" max="7" width="52.5546875" style="137" customWidth="1"/>
    <col min="8" max="10" width="11.5546875" style="137"/>
    <col min="11" max="11" width="18.21875" style="137" bestFit="1" customWidth="1"/>
    <col min="12" max="12" width="18.44140625" style="137" bestFit="1" customWidth="1"/>
    <col min="13" max="13" width="14.44140625" style="137" bestFit="1" customWidth="1"/>
    <col min="14" max="14" width="57.5546875" style="137" bestFit="1" customWidth="1"/>
    <col min="15" max="16384" width="11.5546875" style="137"/>
  </cols>
  <sheetData>
    <row r="1" spans="2:8" x14ac:dyDescent="0.3">
      <c r="B1" s="138"/>
      <c r="C1" s="139"/>
      <c r="D1" s="139"/>
      <c r="E1" s="139"/>
      <c r="F1" s="139"/>
      <c r="G1" s="140"/>
    </row>
    <row r="2" spans="2:8" s="182" customFormat="1" ht="21" x14ac:dyDescent="0.4">
      <c r="B2" s="183" t="s">
        <v>156</v>
      </c>
      <c r="C2" s="184"/>
      <c r="D2" s="184"/>
      <c r="E2" s="184"/>
      <c r="F2" s="184"/>
      <c r="G2" s="185"/>
    </row>
    <row r="3" spans="2:8" x14ac:dyDescent="0.3">
      <c r="B3" s="134"/>
      <c r="C3" s="135"/>
      <c r="D3" s="135"/>
      <c r="E3" s="135"/>
      <c r="F3" s="135"/>
      <c r="G3" s="136"/>
    </row>
    <row r="4" spans="2:8" x14ac:dyDescent="0.3">
      <c r="B4" s="141" t="s">
        <v>172</v>
      </c>
      <c r="C4" s="142"/>
      <c r="D4" s="142"/>
      <c r="E4" s="142"/>
      <c r="F4" s="142"/>
      <c r="G4" s="143"/>
    </row>
    <row r="5" spans="2:8" ht="15" thickBot="1" x14ac:dyDescent="0.35">
      <c r="B5" s="144"/>
      <c r="C5" s="145"/>
      <c r="D5" s="145"/>
      <c r="E5" s="145"/>
      <c r="F5" s="145"/>
      <c r="G5" s="146"/>
    </row>
    <row r="6" spans="2:8" ht="16.2" thickBot="1" x14ac:dyDescent="0.35">
      <c r="B6" s="147" t="s">
        <v>10</v>
      </c>
      <c r="C6" s="148" t="s">
        <v>11</v>
      </c>
      <c r="D6" s="149" t="s">
        <v>12</v>
      </c>
      <c r="E6" s="148" t="s">
        <v>13</v>
      </c>
      <c r="F6" s="148" t="s">
        <v>6</v>
      </c>
      <c r="G6" s="148" t="s">
        <v>14</v>
      </c>
    </row>
    <row r="7" spans="2:8" ht="28.2" thickBot="1" x14ac:dyDescent="0.35">
      <c r="B7" s="150" t="s">
        <v>0</v>
      </c>
      <c r="C7" s="151">
        <v>8</v>
      </c>
      <c r="D7" s="152" t="s">
        <v>34</v>
      </c>
      <c r="E7" s="153" t="s">
        <v>157</v>
      </c>
      <c r="F7" s="154" t="s">
        <v>16</v>
      </c>
      <c r="G7" s="155" t="s">
        <v>110</v>
      </c>
      <c r="H7" s="156"/>
    </row>
    <row r="8" spans="2:8" ht="28.2" thickBot="1" x14ac:dyDescent="0.35">
      <c r="B8" s="157" t="s">
        <v>1</v>
      </c>
      <c r="C8" s="158">
        <v>8</v>
      </c>
      <c r="D8" s="159" t="s">
        <v>35</v>
      </c>
      <c r="E8" s="153" t="s">
        <v>158</v>
      </c>
      <c r="F8" s="154" t="s">
        <v>16</v>
      </c>
      <c r="G8" s="155" t="s">
        <v>111</v>
      </c>
      <c r="H8" s="156"/>
    </row>
    <row r="9" spans="2:8" ht="28.2" thickBot="1" x14ac:dyDescent="0.35">
      <c r="B9" s="157" t="s">
        <v>2</v>
      </c>
      <c r="C9" s="158">
        <v>8</v>
      </c>
      <c r="D9" s="159" t="s">
        <v>5</v>
      </c>
      <c r="E9" s="160" t="s">
        <v>159</v>
      </c>
      <c r="F9" s="154" t="s">
        <v>16</v>
      </c>
      <c r="G9" s="161" t="s">
        <v>15</v>
      </c>
      <c r="H9" s="156"/>
    </row>
    <row r="10" spans="2:8" ht="28.2" thickBot="1" x14ac:dyDescent="0.35">
      <c r="B10" s="157" t="s">
        <v>3</v>
      </c>
      <c r="C10" s="158">
        <v>4</v>
      </c>
      <c r="D10" s="159" t="s">
        <v>7</v>
      </c>
      <c r="E10" s="160" t="s">
        <v>78</v>
      </c>
      <c r="F10" s="154" t="s">
        <v>16</v>
      </c>
      <c r="G10" s="161" t="s">
        <v>112</v>
      </c>
      <c r="H10" s="156"/>
    </row>
    <row r="11" spans="2:8" ht="28.2" thickBot="1" x14ac:dyDescent="0.35">
      <c r="B11" s="157" t="s">
        <v>4</v>
      </c>
      <c r="C11" s="158">
        <v>4</v>
      </c>
      <c r="D11" s="162" t="s">
        <v>31</v>
      </c>
      <c r="E11" s="163" t="s">
        <v>76</v>
      </c>
      <c r="F11" s="154" t="s">
        <v>16</v>
      </c>
      <c r="G11" s="164"/>
      <c r="H11" s="165"/>
    </row>
    <row r="12" spans="2:8" ht="28.2" thickBot="1" x14ac:dyDescent="0.35">
      <c r="B12" s="166" t="s">
        <v>160</v>
      </c>
      <c r="C12" s="167">
        <v>8</v>
      </c>
      <c r="D12" s="159" t="s">
        <v>38</v>
      </c>
      <c r="E12" s="160" t="s">
        <v>161</v>
      </c>
      <c r="F12" s="168" t="s">
        <v>16</v>
      </c>
      <c r="G12" s="169" t="s">
        <v>162</v>
      </c>
      <c r="H12" s="170"/>
    </row>
    <row r="13" spans="2:8" ht="28.2" thickBot="1" x14ac:dyDescent="0.35">
      <c r="B13" s="171" t="s">
        <v>163</v>
      </c>
      <c r="C13" s="172">
        <v>4</v>
      </c>
      <c r="D13" s="173" t="s">
        <v>164</v>
      </c>
      <c r="E13" s="174" t="s">
        <v>165</v>
      </c>
      <c r="F13" s="168" t="s">
        <v>16</v>
      </c>
      <c r="G13" s="175" t="s">
        <v>166</v>
      </c>
      <c r="H13" s="170"/>
    </row>
    <row r="14" spans="2:8" ht="28.2" thickBot="1" x14ac:dyDescent="0.35">
      <c r="B14" s="176" t="s">
        <v>167</v>
      </c>
      <c r="C14" s="177">
        <v>60</v>
      </c>
      <c r="D14" s="178" t="s">
        <v>168</v>
      </c>
      <c r="E14" s="179" t="s">
        <v>169</v>
      </c>
      <c r="F14" s="180" t="s">
        <v>16</v>
      </c>
      <c r="G14" s="181" t="s">
        <v>170</v>
      </c>
      <c r="H14" s="170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tabSelected="1" showWhiteSpace="0" zoomScale="130" zoomScaleNormal="130" workbookViewId="0">
      <selection activeCell="B10" sqref="B10"/>
    </sheetView>
  </sheetViews>
  <sheetFormatPr baseColWidth="10" defaultColWidth="11.44140625" defaultRowHeight="14.4" x14ac:dyDescent="0.3"/>
  <cols>
    <col min="1" max="1" width="8.109375" style="71" customWidth="1"/>
    <col min="2" max="2" width="46.109375" style="71" customWidth="1"/>
    <col min="3" max="3" width="22.109375" style="71" customWidth="1"/>
    <col min="4" max="4" width="28.109375" style="78" customWidth="1"/>
    <col min="5" max="5" width="31.109375" style="78" customWidth="1"/>
    <col min="6" max="16384" width="11.44140625" style="71"/>
  </cols>
  <sheetData>
    <row r="1" spans="1:6" ht="15" customHeight="1" x14ac:dyDescent="0.3">
      <c r="A1" s="129" t="s">
        <v>128</v>
      </c>
      <c r="B1" s="130" t="s">
        <v>129</v>
      </c>
      <c r="C1" s="130"/>
      <c r="D1" s="130"/>
      <c r="E1" s="69" t="s">
        <v>145</v>
      </c>
      <c r="F1" s="70"/>
    </row>
    <row r="2" spans="1:6" ht="15" customHeight="1" x14ac:dyDescent="0.3">
      <c r="A2" s="129"/>
      <c r="B2" s="130" t="s">
        <v>130</v>
      </c>
      <c r="C2" s="130"/>
      <c r="D2" s="130"/>
      <c r="E2" s="86" t="s">
        <v>155</v>
      </c>
      <c r="F2" s="70"/>
    </row>
    <row r="3" spans="1:6" ht="15" customHeight="1" x14ac:dyDescent="0.3">
      <c r="A3" s="129"/>
      <c r="B3" s="131"/>
      <c r="C3" s="131"/>
      <c r="D3" s="131"/>
      <c r="E3" s="130" t="s">
        <v>131</v>
      </c>
      <c r="F3" s="70"/>
    </row>
    <row r="4" spans="1:6" ht="52.2" customHeight="1" x14ac:dyDescent="0.3">
      <c r="A4" s="129"/>
      <c r="B4" s="131"/>
      <c r="C4" s="131"/>
      <c r="D4" s="131"/>
      <c r="E4" s="130"/>
      <c r="F4" s="70"/>
    </row>
    <row r="5" spans="1:6" ht="33" customHeight="1" x14ac:dyDescent="0.3">
      <c r="A5" s="129"/>
      <c r="B5" s="132" t="s">
        <v>132</v>
      </c>
      <c r="C5" s="132"/>
      <c r="D5" s="132"/>
      <c r="E5" s="72" t="s">
        <v>133</v>
      </c>
      <c r="F5" s="70"/>
    </row>
    <row r="6" spans="1:6" x14ac:dyDescent="0.3">
      <c r="A6" s="126"/>
      <c r="B6" s="126"/>
      <c r="C6" s="126"/>
      <c r="D6" s="126"/>
      <c r="E6" s="126"/>
      <c r="F6" s="70"/>
    </row>
    <row r="7" spans="1:6" ht="15" customHeight="1" x14ac:dyDescent="0.3">
      <c r="A7" s="127"/>
      <c r="B7" s="127"/>
      <c r="C7" s="127"/>
      <c r="D7" s="127"/>
      <c r="E7" s="127"/>
      <c r="F7" s="70"/>
    </row>
    <row r="8" spans="1:6" x14ac:dyDescent="0.3">
      <c r="A8" s="128" t="s">
        <v>134</v>
      </c>
      <c r="B8" s="128"/>
      <c r="C8" s="128"/>
      <c r="D8" s="128"/>
      <c r="E8" s="128"/>
      <c r="F8" s="70"/>
    </row>
    <row r="9" spans="1:6" ht="40.200000000000003" x14ac:dyDescent="0.3">
      <c r="A9" s="73" t="s">
        <v>135</v>
      </c>
      <c r="B9" s="74" t="s">
        <v>136</v>
      </c>
      <c r="C9" s="73" t="s">
        <v>137</v>
      </c>
      <c r="D9" s="73" t="s">
        <v>138</v>
      </c>
      <c r="E9" s="73" t="s">
        <v>139</v>
      </c>
      <c r="F9" s="70"/>
    </row>
    <row r="10" spans="1:6" s="85" customFormat="1" x14ac:dyDescent="0.3">
      <c r="A10" s="81" t="s">
        <v>153</v>
      </c>
      <c r="B10" s="82" t="s">
        <v>171</v>
      </c>
      <c r="C10" s="82" t="s">
        <v>154</v>
      </c>
      <c r="D10" s="83"/>
      <c r="E10" s="83"/>
      <c r="F10" s="84"/>
    </row>
    <row r="11" spans="1:6" ht="22.2" customHeight="1" x14ac:dyDescent="0.3">
      <c r="A11" s="79" t="s">
        <v>140</v>
      </c>
      <c r="B11" s="75" t="s">
        <v>141</v>
      </c>
      <c r="C11" s="75" t="s">
        <v>142</v>
      </c>
      <c r="D11" s="75" t="s">
        <v>143</v>
      </c>
      <c r="E11" s="75" t="s">
        <v>144</v>
      </c>
      <c r="F11" s="70"/>
    </row>
    <row r="12" spans="1:6" ht="22.2" customHeight="1" x14ac:dyDescent="0.3">
      <c r="A12" s="80" t="s">
        <v>152</v>
      </c>
      <c r="B12" s="75" t="s">
        <v>127</v>
      </c>
      <c r="C12" s="77" t="s">
        <v>149</v>
      </c>
      <c r="D12" s="77"/>
      <c r="E12" s="77"/>
    </row>
    <row r="13" spans="1:6" ht="22.2" customHeight="1" x14ac:dyDescent="0.3">
      <c r="A13" s="80" t="s">
        <v>151</v>
      </c>
      <c r="B13" s="77" t="s">
        <v>146</v>
      </c>
      <c r="C13" s="77" t="s">
        <v>149</v>
      </c>
      <c r="D13" s="75"/>
      <c r="E13" s="75"/>
      <c r="F13" s="70"/>
    </row>
    <row r="14" spans="1:6" ht="22.2" customHeight="1" x14ac:dyDescent="0.3">
      <c r="A14" s="79" t="s">
        <v>150</v>
      </c>
      <c r="B14" s="75" t="s">
        <v>123</v>
      </c>
      <c r="C14" s="75" t="s">
        <v>148</v>
      </c>
      <c r="D14" s="75"/>
      <c r="E14" s="75"/>
      <c r="F14" s="70"/>
    </row>
    <row r="15" spans="1:6" ht="22.2" customHeight="1" x14ac:dyDescent="0.3">
      <c r="A15" s="79" t="s">
        <v>121</v>
      </c>
      <c r="B15" s="75" t="s">
        <v>122</v>
      </c>
      <c r="C15" s="76" t="s">
        <v>147</v>
      </c>
      <c r="D15" s="75"/>
      <c r="E15" s="75"/>
      <c r="F15" s="70"/>
    </row>
  </sheetData>
  <mergeCells count="9">
    <mergeCell ref="A6:E6"/>
    <mergeCell ref="A7:E7"/>
    <mergeCell ref="A8:E8"/>
    <mergeCell ref="A1:A5"/>
    <mergeCell ref="B1:D1"/>
    <mergeCell ref="B2:D2"/>
    <mergeCell ref="B3:D4"/>
    <mergeCell ref="E3:E4"/>
    <mergeCell ref="B5:D5"/>
  </mergeCells>
  <pageMargins left="0.43307086614173229" right="0.43307086614173229" top="0.62992125984251968" bottom="0.59055118110236227" header="0.31496062992125984" footer="0.31496062992125984"/>
  <pageSetup paperSize="9" orientation="landscape" r:id="rId1"/>
  <headerFooter>
    <oddHeader>&amp;C&amp;"BMW Group Condensed,Fett"&amp;12Lenkungsinformationen</oddHeader>
    <oddFooter>&amp;C&amp;"BMW Group Condensed,Fett"&amp;10Ausdruck nur zur Information&amp;R&amp;"BMW Group Condensed,Fett"&amp;10S. 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G17"/>
  <sheetViews>
    <sheetView showGridLines="0" zoomScaleNormal="100" workbookViewId="0">
      <selection activeCell="D24" sqref="D24"/>
    </sheetView>
  </sheetViews>
  <sheetFormatPr baseColWidth="10" defaultColWidth="11.44140625" defaultRowHeight="13.2" x14ac:dyDescent="0.25"/>
  <cols>
    <col min="1" max="1" width="3.6640625" style="4" customWidth="1"/>
    <col min="2" max="2" width="12.44140625" style="4" customWidth="1"/>
    <col min="3" max="3" width="10" style="4" bestFit="1" customWidth="1"/>
    <col min="4" max="4" width="13.5546875" style="4" bestFit="1" customWidth="1"/>
    <col min="5" max="5" width="16.88671875" style="4" bestFit="1" customWidth="1"/>
    <col min="6" max="6" width="14.6640625" style="4" bestFit="1" customWidth="1"/>
    <col min="7" max="7" width="45.6640625" style="4" customWidth="1"/>
    <col min="8" max="16384" width="11.44140625" style="4"/>
  </cols>
  <sheetData>
    <row r="2" spans="2:7" ht="21" x14ac:dyDescent="0.4">
      <c r="B2" s="7" t="s">
        <v>77</v>
      </c>
    </row>
    <row r="4" spans="2:7" x14ac:dyDescent="0.25">
      <c r="B4" s="133" t="s">
        <v>71</v>
      </c>
      <c r="C4" s="133"/>
      <c r="D4" s="133"/>
      <c r="E4" s="133"/>
      <c r="F4" s="133"/>
      <c r="G4" s="133"/>
    </row>
    <row r="5" spans="2:7" x14ac:dyDescent="0.25">
      <c r="B5" s="5" t="s">
        <v>72</v>
      </c>
    </row>
    <row r="6" spans="2:7" x14ac:dyDescent="0.25">
      <c r="B6" s="5" t="s">
        <v>62</v>
      </c>
    </row>
    <row r="7" spans="2:7" ht="13.8" thickBot="1" x14ac:dyDescent="0.3">
      <c r="B7" s="5"/>
    </row>
    <row r="8" spans="2:7" ht="16.2" thickBot="1" x14ac:dyDescent="0.3">
      <c r="B8" s="1" t="s">
        <v>10</v>
      </c>
      <c r="C8" s="2" t="s">
        <v>11</v>
      </c>
      <c r="D8" s="3" t="s">
        <v>12</v>
      </c>
      <c r="E8" s="2" t="s">
        <v>13</v>
      </c>
      <c r="F8" s="2" t="s">
        <v>6</v>
      </c>
      <c r="G8" s="2" t="s">
        <v>14</v>
      </c>
    </row>
    <row r="9" spans="2:7" ht="40.200000000000003" thickBot="1" x14ac:dyDescent="0.3">
      <c r="B9" s="30" t="s">
        <v>0</v>
      </c>
      <c r="C9" s="31">
        <v>8</v>
      </c>
      <c r="D9" s="35" t="s">
        <v>34</v>
      </c>
      <c r="E9" s="63" t="str">
        <f>Filled_by_requestor!H12</f>
        <v>FM52MO01</v>
      </c>
      <c r="F9" s="36" t="s">
        <v>16</v>
      </c>
      <c r="G9" s="37" t="s">
        <v>18</v>
      </c>
    </row>
    <row r="10" spans="2:7" ht="27" thickBot="1" x14ac:dyDescent="0.3">
      <c r="B10" s="32" t="s">
        <v>1</v>
      </c>
      <c r="C10" s="33">
        <v>8</v>
      </c>
      <c r="D10" s="38" t="s">
        <v>35</v>
      </c>
      <c r="E10" s="63" t="str">
        <f>Filled_by_requestor!C15</f>
        <v>ST005607</v>
      </c>
      <c r="F10" s="36" t="s">
        <v>16</v>
      </c>
      <c r="G10" s="39" t="s">
        <v>32</v>
      </c>
    </row>
    <row r="11" spans="2:7" ht="27" thickBot="1" x14ac:dyDescent="0.3">
      <c r="B11" s="32" t="s">
        <v>2</v>
      </c>
      <c r="C11" s="33">
        <v>8</v>
      </c>
      <c r="D11" s="38" t="s">
        <v>5</v>
      </c>
      <c r="E11" s="64" t="s">
        <v>44</v>
      </c>
      <c r="F11" s="36" t="s">
        <v>16</v>
      </c>
      <c r="G11" s="34" t="s">
        <v>15</v>
      </c>
    </row>
    <row r="12" spans="2:7" ht="27" thickBot="1" x14ac:dyDescent="0.3">
      <c r="B12" s="32" t="s">
        <v>3</v>
      </c>
      <c r="C12" s="33">
        <v>4</v>
      </c>
      <c r="D12" s="38" t="s">
        <v>7</v>
      </c>
      <c r="E12" s="64" t="s">
        <v>78</v>
      </c>
      <c r="F12" s="36" t="s">
        <v>16</v>
      </c>
      <c r="G12" s="34" t="s">
        <v>79</v>
      </c>
    </row>
    <row r="13" spans="2:7" ht="15" thickBot="1" x14ac:dyDescent="0.3">
      <c r="B13" s="32" t="s">
        <v>4</v>
      </c>
      <c r="C13" s="33">
        <v>4</v>
      </c>
      <c r="D13" s="38" t="s">
        <v>31</v>
      </c>
      <c r="E13" s="64" t="s">
        <v>8</v>
      </c>
      <c r="F13" s="40" t="s">
        <v>17</v>
      </c>
      <c r="G13" s="34" t="s">
        <v>49</v>
      </c>
    </row>
    <row r="14" spans="2:7" ht="27" thickBot="1" x14ac:dyDescent="0.3">
      <c r="B14" s="41" t="s">
        <v>36</v>
      </c>
      <c r="C14" s="33">
        <v>2</v>
      </c>
      <c r="D14" s="38" t="s">
        <v>33</v>
      </c>
      <c r="E14" s="63" t="str">
        <f>Filled_by_requestor!F15</f>
        <v>FZ</v>
      </c>
      <c r="F14" s="36" t="s">
        <v>16</v>
      </c>
      <c r="G14" s="34" t="s">
        <v>9</v>
      </c>
    </row>
    <row r="15" spans="2:7" ht="15" thickBot="1" x14ac:dyDescent="0.3">
      <c r="B15" s="41" t="s">
        <v>37</v>
      </c>
      <c r="C15" s="33">
        <v>12</v>
      </c>
      <c r="D15" s="38" t="s">
        <v>38</v>
      </c>
      <c r="E15" s="64" t="s">
        <v>45</v>
      </c>
      <c r="F15" s="40" t="s">
        <v>17</v>
      </c>
      <c r="G15" s="34" t="s">
        <v>47</v>
      </c>
    </row>
    <row r="16" spans="2:7" ht="15" thickBot="1" x14ac:dyDescent="0.3">
      <c r="B16" s="41" t="s">
        <v>40</v>
      </c>
      <c r="C16" s="33">
        <v>6</v>
      </c>
      <c r="D16" s="38" t="s">
        <v>39</v>
      </c>
      <c r="E16" s="64" t="s">
        <v>46</v>
      </c>
      <c r="F16" s="40" t="s">
        <v>17</v>
      </c>
      <c r="G16" s="34" t="s">
        <v>48</v>
      </c>
    </row>
    <row r="17" spans="2:7" ht="15" thickBot="1" x14ac:dyDescent="0.3">
      <c r="B17" s="42" t="s">
        <v>42</v>
      </c>
      <c r="C17" s="43">
        <v>8</v>
      </c>
      <c r="D17" s="44" t="s">
        <v>50</v>
      </c>
      <c r="E17" s="66"/>
      <c r="F17" s="45"/>
      <c r="G17" s="46" t="s">
        <v>51</v>
      </c>
    </row>
  </sheetData>
  <mergeCells count="1">
    <mergeCell ref="B4:G4"/>
  </mergeCells>
  <pageMargins left="0.19685039370078741" right="0.19685039370078741" top="0.19685039370078741" bottom="0.19685039370078741" header="0.31496062992125984" footer="0.31496062992125984"/>
  <pageSetup paperSize="9" scale="8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</vt:i4>
      </vt:variant>
    </vt:vector>
  </HeadingPairs>
  <TitlesOfParts>
    <vt:vector size="13" baseType="lpstr">
      <vt:lpstr>Filled_by_requestor</vt:lpstr>
      <vt:lpstr>SPSDATEN</vt:lpstr>
      <vt:lpstr>SPSDELET</vt:lpstr>
      <vt:lpstr>SPSFRGIO</vt:lpstr>
      <vt:lpstr>SPS_UDAT</vt:lpstr>
      <vt:lpstr>Changes</vt:lpstr>
      <vt:lpstr>SPS_PING</vt:lpstr>
      <vt:lpstr>Changes!Druckbereich</vt:lpstr>
      <vt:lpstr>Filled_by_requestor!Druckbereich</vt:lpstr>
      <vt:lpstr>SPS_PING!Druckbereich</vt:lpstr>
      <vt:lpstr>SPSDATEN!Druckbereich</vt:lpstr>
      <vt:lpstr>SPSDELET!Druckbereich</vt:lpstr>
      <vt:lpstr>SPSFRGIO!Druckbereich</vt:lpstr>
    </vt:vector>
  </TitlesOfParts>
  <Company>BMW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Mindermann;TM-425</dc:creator>
  <cp:lastModifiedBy>Berger Tilo</cp:lastModifiedBy>
  <cp:lastPrinted>2014-04-08T12:42:17Z</cp:lastPrinted>
  <dcterms:created xsi:type="dcterms:W3CDTF">2007-04-13T13:29:50Z</dcterms:created>
  <dcterms:modified xsi:type="dcterms:W3CDTF">2018-04-25T13:58:42Z</dcterms:modified>
</cp:coreProperties>
</file>