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europe.bmw.corp\WINFS\TP-proj\Tx-4-TMO\10_CoC\04_CoC_ETST\21_ST\28_V3\Interna\ITFreezed\WAS\"/>
    </mc:Choice>
  </mc:AlternateContent>
  <bookViews>
    <workbookView xWindow="0" yWindow="0" windowWidth="25125" windowHeight="11985" tabRatio="897" activeTab="11"/>
  </bookViews>
  <sheets>
    <sheet name="Filled_by_requestor" sheetId="22" r:id="rId1"/>
    <sheet name="ID_PUSH1" sheetId="24" r:id="rId2"/>
    <sheet name="SPSDELET" sheetId="31" state="hidden" r:id="rId3"/>
    <sheet name="ID_EXIT1" sheetId="40" r:id="rId4"/>
    <sheet name="ID_REQU2" sheetId="34" r:id="rId5"/>
    <sheet name="WASIDENT" sheetId="33" r:id="rId6"/>
    <sheet name="SPS_PING" sheetId="26" state="hidden" r:id="rId7"/>
    <sheet name="WAS_MOVE" sheetId="36" r:id="rId8"/>
    <sheet name="PING_PLC" sheetId="37" r:id="rId9"/>
    <sheet name="PING_WAS" sheetId="38" r:id="rId10"/>
    <sheet name="Layout" sheetId="30" r:id="rId11"/>
    <sheet name="Changes" sheetId="39" r:id="rId12"/>
  </sheets>
  <externalReferences>
    <externalReference r:id="rId13"/>
  </externalReferences>
  <definedNames>
    <definedName name="Ablage" localSheetId="11">#REF!</definedName>
    <definedName name="Ablage" localSheetId="3">#REF!</definedName>
    <definedName name="Ablage">#REF!</definedName>
    <definedName name="Aktoren_Sensoren" localSheetId="3">#REF!</definedName>
    <definedName name="Aktoren_Sensoren">#REF!</definedName>
    <definedName name="Control" localSheetId="3">#REF!</definedName>
    <definedName name="Control" localSheetId="2">#REF!</definedName>
    <definedName name="Control">#REF!</definedName>
    <definedName name="Dokumentart" localSheetId="11">#REF!</definedName>
    <definedName name="Dokumentart" localSheetId="3">#REF!</definedName>
    <definedName name="Dokumentart">#REF!</definedName>
    <definedName name="Dokumentkategorie" localSheetId="11">#REF!</definedName>
    <definedName name="Dokumentkategorie" localSheetId="3">#REF!</definedName>
    <definedName name="Dokumentkategorie">#REF!</definedName>
    <definedName name="_xlnm.Print_Area" localSheetId="11">Changes!$A$1:$E$24</definedName>
    <definedName name="_xlnm.Print_Area" localSheetId="0">Filled_by_requestor!$A$1:$N$72</definedName>
    <definedName name="_xlnm.Print_Area" localSheetId="3">ID_EXIT1!$A$1:$H$31</definedName>
    <definedName name="_xlnm.Print_Area" localSheetId="1">ID_PUSH1!$A$1:$H$31</definedName>
    <definedName name="_xlnm.Print_Area" localSheetId="6">SPS_PING!$A$1:$H$21</definedName>
    <definedName name="_xlnm.Print_Area" localSheetId="2">SPSDELET!$A$1:$H$51</definedName>
    <definedName name="Komponenten">[1]Daten!$A$2:$A$500</definedName>
    <definedName name="Ordner_Archive" localSheetId="3">#REF!</definedName>
    <definedName name="Ordner_Archive">#REF!</definedName>
    <definedName name="Prozessnummer" localSheetId="11">#REF!</definedName>
    <definedName name="Prozessnummer" localSheetId="3">#REF!</definedName>
    <definedName name="Prozessnummer">#REF!</definedName>
    <definedName name="SIMATC_TIA_Profinet_Gerätenamen" localSheetId="3">#REF!</definedName>
    <definedName name="SIMATC_TIA_Profinet_Gerätenamen">#REF!</definedName>
    <definedName name="Simatic" localSheetId="3">#REF!</definedName>
    <definedName name="Simatic">#REF!</definedName>
    <definedName name="Simatic_TIA_Adressvergaben" localSheetId="3">#REF!</definedName>
    <definedName name="Simatic_TIA_Adressvergaben">#REF!</definedName>
    <definedName name="TCPIP_Namen" localSheetId="3">#REF!</definedName>
    <definedName name="TCPIP_Namen">#REF!</definedName>
    <definedName name="Test" localSheetId="3">#REF!</definedName>
    <definedName name="Test">#REF!</definedName>
    <definedName name="Z_2E70E708_B73C_4323_9253_4875EF82DB2B_.wvu.Rows" localSheetId="0" hidden="1">Filled_by_requestor!$34:$47,Filled_by_requestor!$51:$71</definedName>
    <definedName name="Zugriffsbeschränkung" localSheetId="11">#REF!</definedName>
    <definedName name="Zugriffsbeschränkung" localSheetId="3">#REF!</definedName>
    <definedName name="Zugriffsbeschränkung">#REF!</definedName>
  </definedNames>
  <calcPr calcId="152511"/>
  <customWorkbookViews>
    <customWorkbookView name="PLC specific information" guid="{2E70E708-B73C-4323-9253-4875EF82DB2B}" includePrintSettings="0" maximized="1" xWindow="1" yWindow="1" windowWidth="1362" windowHeight="548" tabRatio="897" activeSheetId="22"/>
  </customWorkbookViews>
</workbook>
</file>

<file path=xl/calcChain.xml><?xml version="1.0" encoding="utf-8"?>
<calcChain xmlns="http://schemas.openxmlformats.org/spreadsheetml/2006/main">
  <c r="E8" i="40" l="1"/>
  <c r="E7" i="40"/>
  <c r="E7" i="33" l="1"/>
  <c r="E20" i="33" s="1"/>
  <c r="E6" i="33"/>
  <c r="E21" i="33" s="1"/>
  <c r="E7" i="24"/>
  <c r="E19" i="38" l="1"/>
  <c r="E18" i="38"/>
  <c r="E7" i="38"/>
  <c r="E6" i="38"/>
  <c r="E19" i="37"/>
  <c r="E7" i="37"/>
  <c r="E6" i="37"/>
  <c r="E6" i="36" l="1"/>
  <c r="E20" i="36" l="1"/>
  <c r="E19" i="34" l="1"/>
  <c r="E7" i="34"/>
  <c r="E7" i="31"/>
  <c r="E27" i="31" s="1"/>
  <c r="E26" i="31" l="1"/>
  <c r="E8" i="31"/>
  <c r="E8" i="24"/>
  <c r="G29" i="22"/>
  <c r="C3" i="22"/>
  <c r="E7" i="36" l="1"/>
  <c r="E19" i="36" s="1"/>
  <c r="E18" i="37"/>
  <c r="E20" i="34"/>
  <c r="E6" i="34"/>
  <c r="E14" i="26"/>
  <c r="E10" i="26"/>
  <c r="E9" i="26"/>
</calcChain>
</file>

<file path=xl/sharedStrings.xml><?xml version="1.0" encoding="utf-8"?>
<sst xmlns="http://schemas.openxmlformats.org/spreadsheetml/2006/main" count="963" uniqueCount="329">
  <si>
    <t>1 - 8</t>
  </si>
  <si>
    <t>9 - 16</t>
  </si>
  <si>
    <t>17 - 24</t>
  </si>
  <si>
    <t>25 - 28</t>
  </si>
  <si>
    <t>29 - 32</t>
  </si>
  <si>
    <t>TELNAME</t>
  </si>
  <si>
    <t>IPS - Format</t>
  </si>
  <si>
    <t>ACKNO</t>
  </si>
  <si>
    <t>0000</t>
  </si>
  <si>
    <t>OR / FZ / FG / ID</t>
  </si>
  <si>
    <t>Character</t>
  </si>
  <si>
    <t>Number</t>
  </si>
  <si>
    <t>Field Name</t>
  </si>
  <si>
    <t>Example</t>
  </si>
  <si>
    <t>Description</t>
  </si>
  <si>
    <t>Telegram name</t>
  </si>
  <si>
    <t>alpha-
numeric</t>
  </si>
  <si>
    <t>numeric</t>
  </si>
  <si>
    <t>Original sender of the message. AKZ is a subset of the DNS name and must be setup according to the standardisation.</t>
  </si>
  <si>
    <t>Department code</t>
  </si>
  <si>
    <t>Tel. No</t>
  </si>
  <si>
    <t>Date</t>
  </si>
  <si>
    <t>Controls Planer</t>
  </si>
  <si>
    <t>Location</t>
  </si>
  <si>
    <t>IP Name/ IP Address</t>
  </si>
  <si>
    <t>Version</t>
  </si>
  <si>
    <t>Author</t>
  </si>
  <si>
    <t>Changes</t>
  </si>
  <si>
    <t>TRANS Nr.</t>
  </si>
  <si>
    <t>Final destination of the message: Identifies BVIS KM  as communication partner</t>
  </si>
  <si>
    <t>KEY TYPE</t>
  </si>
  <si>
    <t>SOURCE</t>
  </si>
  <si>
    <t>DESTINATION</t>
  </si>
  <si>
    <t>33 - 34</t>
  </si>
  <si>
    <t>35 - 46</t>
  </si>
  <si>
    <t xml:space="preserve">KEY </t>
  </si>
  <si>
    <t>LFND</t>
  </si>
  <si>
    <t>47 - 52</t>
  </si>
  <si>
    <t>53 - 60</t>
  </si>
  <si>
    <t>SPSDELET</t>
  </si>
  <si>
    <t>SPS_PING</t>
  </si>
  <si>
    <t>000000000000</t>
  </si>
  <si>
    <t>000000</t>
  </si>
  <si>
    <t>Fix with 12 "0"</t>
  </si>
  <si>
    <t>Fix with 6 "0"</t>
  </si>
  <si>
    <t>Fix with 4 "0"</t>
  </si>
  <si>
    <t>Empty</t>
  </si>
  <si>
    <t>8 blanks</t>
  </si>
  <si>
    <t>Port (102 default for PLC)</t>
  </si>
  <si>
    <t>Caption/ Legende</t>
  </si>
  <si>
    <t>General</t>
  </si>
  <si>
    <t>The blue-marked cells are necessary to correctly fill in the telegram sheets!
Die blau-markierten Zellen sind zur richtigen Befüllung der Telegramme notwendig!</t>
  </si>
  <si>
    <r>
      <rPr>
        <b/>
        <sz val="10"/>
        <color theme="0"/>
        <rFont val="Arial"/>
        <family val="2"/>
      </rPr>
      <t>W1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Munich</t>
    </r>
  </si>
  <si>
    <r>
      <rPr>
        <b/>
        <sz val="10"/>
        <color theme="0"/>
        <rFont val="Arial"/>
        <family val="2"/>
      </rPr>
      <t>W2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Dingolfing</t>
    </r>
  </si>
  <si>
    <r>
      <rPr>
        <b/>
        <sz val="10"/>
        <color theme="0"/>
        <rFont val="Arial"/>
        <family val="2"/>
      </rPr>
      <t>W34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Oxford</t>
    </r>
  </si>
  <si>
    <r>
      <rPr>
        <b/>
        <sz val="10"/>
        <color theme="0"/>
        <rFont val="Arial"/>
        <family val="2"/>
      </rPr>
      <t>W6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Regensburg</t>
    </r>
  </si>
  <si>
    <r>
      <rPr>
        <b/>
        <sz val="10"/>
        <color theme="0"/>
        <rFont val="Arial"/>
        <family val="2"/>
      </rPr>
      <t>W7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Leipzig</t>
    </r>
  </si>
  <si>
    <r>
      <rPr>
        <b/>
        <sz val="10"/>
        <color theme="0"/>
        <rFont val="Arial"/>
        <family val="2"/>
      </rPr>
      <t>W9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Rosslyn</t>
    </r>
  </si>
  <si>
    <r>
      <rPr>
        <b/>
        <sz val="10"/>
        <color theme="0"/>
        <rFont val="Arial"/>
        <family val="2"/>
      </rPr>
      <t>W10</t>
    </r>
    <r>
      <rPr>
        <sz val="8"/>
        <color theme="0"/>
        <rFont val="Arial"/>
        <family val="2"/>
      </rPr>
      <t xml:space="preserve">
Spartanburg</t>
    </r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</si>
  <si>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B.50</t>
    </r>
  </si>
  <si>
    <r>
      <rPr>
        <b/>
        <sz val="10"/>
        <color theme="0"/>
        <rFont val="Arial"/>
        <family val="2"/>
      </rPr>
      <t>W19.88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Tiexi</t>
    </r>
  </si>
  <si>
    <t xml:space="preserve">Communication </t>
  </si>
  <si>
    <t xml:space="preserve"> </t>
  </si>
  <si>
    <t>Facility specific Information/ Anlagenspezifische Informationation</t>
  </si>
  <si>
    <t>Process information/ Prozessbeschreibung</t>
  </si>
  <si>
    <t>What is the background of the process?/ Was ist der Hintergrund des Prozesses?</t>
  </si>
  <si>
    <t>Clarification of process flow/ Klärung des Prozessablaufs</t>
  </si>
  <si>
    <t xml:space="preserve">Layout </t>
  </si>
  <si>
    <t>Telegram requirement/ Telegrammanforderungen</t>
  </si>
  <si>
    <t>In case of a connection break off on KM site, the connection will only be established by sending the SPS_PING/ Nach Verbindungsabbruch wird die Verbindung mit SPS_PING wieder hergestellt</t>
  </si>
  <si>
    <t>Facility description</t>
  </si>
  <si>
    <t>Test date</t>
  </si>
  <si>
    <t>SOP date (interface go-live)</t>
  </si>
  <si>
    <t>Short Description and AKZ + TPA/ Ticket (if available)</t>
  </si>
  <si>
    <t xml:space="preserve">This telegram will be sent every 3 min, if no other telegram is queuing/ Das Telegram wird alle 3min gesendet, wenn kein anderes Telegram ansteht
This is used </t>
  </si>
  <si>
    <t>SPS_PING is used for connection monitoring, especially for initialization of the connection/ Verbindungsüberwachung und Initialisieren der Verbindung</t>
  </si>
  <si>
    <t>TRANS Nr. consists of 4 digits, right aligned and filled with "0". It is defined as the line/ tact or the combination of both.</t>
  </si>
  <si>
    <t>SPSPING telegram PLC--&gt; BVIS KM</t>
  </si>
  <si>
    <t>KEIN</t>
  </si>
  <si>
    <t>There is no acknowledgement by BVIS KM, therefore ACKNO=KEIN</t>
  </si>
  <si>
    <t>Port information</t>
  </si>
  <si>
    <t>102 is used as default port for all S7- facilities</t>
  </si>
  <si>
    <t>Please be aware, that for ICOMM you may need to use a differnt port.</t>
  </si>
  <si>
    <t>TSAP PLC_remote</t>
  </si>
  <si>
    <t>TSAP (remote)</t>
  </si>
  <si>
    <t>TSAP of partner connection 
TSAP des Verbindungspartners</t>
  </si>
  <si>
    <r>
      <rPr>
        <b/>
        <sz val="10"/>
        <rFont val="Arial"/>
        <family val="2"/>
      </rPr>
      <t>TSAP (local)</t>
    </r>
    <r>
      <rPr>
        <sz val="10"/>
        <rFont val="Arial"/>
        <family val="2"/>
      </rPr>
      <t xml:space="preserve">
TSAP of the local facility
TSAP der lokalen Anlage
</t>
    </r>
  </si>
  <si>
    <t>(Partner)</t>
  </si>
  <si>
    <t>(Local)</t>
  </si>
  <si>
    <t>TMOAKZ01</t>
  </si>
  <si>
    <t>TSAP PLC local = AKZ</t>
  </si>
  <si>
    <t>Final destination of the message: Identifies WAS__COM  as communication partner</t>
  </si>
  <si>
    <t>TSAP remote (WAS)</t>
  </si>
  <si>
    <t xml:space="preserve">AKZ facility </t>
  </si>
  <si>
    <t>Final destination of the message: AKZ is a subset of the DNS name and must be setup according to the standardisation.</t>
  </si>
  <si>
    <t>Original sender of the message. Identifies WAS__COM  as communication partner</t>
  </si>
  <si>
    <t>Normaly there is no acknowledgement by WAS__COM, therefore ACKNO=KEIN, otherwise ACKNO = number</t>
  </si>
  <si>
    <t>35 - 42</t>
  </si>
  <si>
    <t>43 - 46</t>
  </si>
  <si>
    <t>47 - 50</t>
  </si>
  <si>
    <t>MODELL</t>
  </si>
  <si>
    <t>51 - 54</t>
  </si>
  <si>
    <t>55 - 60</t>
  </si>
  <si>
    <t>0999</t>
  </si>
  <si>
    <t>Acknowledgement to WAS__COM, if ACKNO&lt;&gt;KEIN</t>
  </si>
  <si>
    <t>STATUS</t>
  </si>
  <si>
    <t>OKAY</t>
  </si>
  <si>
    <t>alpha</t>
  </si>
  <si>
    <t>SPSDELETE telegram WAS__COM --&gt; PLC</t>
  </si>
  <si>
    <t>This telegram is sent when leaving the WAS-Cell/ Datentelegram bei Ausfahrt aus der WAS-Zelle</t>
  </si>
  <si>
    <t>This telegram is sent optional send to WAS__COM / Das Quittungstelegramm wird optional bei Anforderung gesendet.</t>
  </si>
  <si>
    <t>SPSDELETE Quittungstelegram PLC--&gt; WAS__COM</t>
  </si>
  <si>
    <t>0001</t>
  </si>
  <si>
    <t>**</t>
  </si>
  <si>
    <t>********</t>
  </si>
  <si>
    <t>****</t>
  </si>
  <si>
    <t>PLC_Connection_ID=5: RCF1006 Communication parameters Overview/ Kommunikationsparameter Überblick Werke</t>
  </si>
  <si>
    <t>active</t>
  </si>
  <si>
    <t>passive</t>
  </si>
  <si>
    <t>1.0</t>
  </si>
  <si>
    <t>Initial draft agreed and distributed</t>
  </si>
  <si>
    <t>alpha-numeric</t>
  </si>
  <si>
    <t>FG</t>
  </si>
  <si>
    <t>17 – 24</t>
  </si>
  <si>
    <t>25 – 28</t>
  </si>
  <si>
    <t>29 - 36</t>
  </si>
  <si>
    <t>01 - 08</t>
  </si>
  <si>
    <t>09 - 16</t>
  </si>
  <si>
    <t>5211TT05</t>
  </si>
  <si>
    <t>37 - 38</t>
  </si>
  <si>
    <t>39 - 46</t>
  </si>
  <si>
    <t> 0D611395</t>
  </si>
  <si>
    <t>Additional LIS/WAS Telegramms "LISIDENT"/ "ID_REQU1"</t>
  </si>
  <si>
    <t>Change Telegramm to 60byte (Series extended to 4 byte)</t>
  </si>
  <si>
    <t>IPSI_WAS</t>
  </si>
  <si>
    <t>SERIES</t>
  </si>
  <si>
    <t>Integrated</t>
  </si>
  <si>
    <t>IPS-i quittiert den Erhalt des Telegramms</t>
  </si>
  <si>
    <t>IPS-i acknowledges the telegram</t>
  </si>
  <si>
    <t>******</t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</si>
  <si>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B.52</t>
    </r>
  </si>
  <si>
    <r>
      <rPr>
        <b/>
        <sz val="10"/>
        <color theme="0"/>
        <rFont val="Arial"/>
        <family val="2"/>
      </rPr>
      <t>W19.10</t>
    </r>
    <r>
      <rPr>
        <sz val="9"/>
        <color theme="0"/>
        <rFont val="Arial"/>
        <family val="2"/>
      </rPr>
      <t xml:space="preserve">
Dadong B.55</t>
    </r>
  </si>
  <si>
    <r>
      <rPr>
        <b/>
        <sz val="10"/>
        <color theme="0"/>
        <rFont val="Arial"/>
        <family val="2"/>
      </rPr>
      <t>W35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Brasil</t>
    </r>
  </si>
  <si>
    <r>
      <rPr>
        <b/>
        <sz val="10"/>
        <color theme="0"/>
        <rFont val="Arial"/>
        <family val="2"/>
      </rPr>
      <t>W.30</t>
    </r>
    <r>
      <rPr>
        <sz val="8"/>
        <color theme="0"/>
        <rFont val="Arial"/>
        <family val="2"/>
      </rPr>
      <t xml:space="preserve">
San Luis Potosi</t>
    </r>
  </si>
  <si>
    <r>
      <rPr>
        <b/>
        <sz val="10"/>
        <color theme="0"/>
        <rFont val="Arial"/>
        <family val="2"/>
      </rPr>
      <t>W.50</t>
    </r>
    <r>
      <rPr>
        <sz val="8"/>
        <color theme="0"/>
        <rFont val="Arial"/>
        <family val="2"/>
      </rPr>
      <t xml:space="preserve">
Rolls-Royce</t>
    </r>
  </si>
  <si>
    <t>Destination / Ziel</t>
  </si>
  <si>
    <t>Plant Code</t>
  </si>
  <si>
    <t>TSAP PLC_local
ASCII (CP/ CPU)  ab 2014</t>
  </si>
  <si>
    <t>AKZ</t>
  </si>
  <si>
    <t>KEY-TYPE</t>
  </si>
  <si>
    <t>LFDNR</t>
  </si>
  <si>
    <t>ENGINE TYPE</t>
  </si>
  <si>
    <t>LOCATION</t>
  </si>
  <si>
    <t>KEY</t>
  </si>
  <si>
    <t>Key of data set</t>
  </si>
  <si>
    <t>OR= Order number/ Auftragsnummer
FZ= FZS number/ Fahrzeugsteuerschlüssel
FG= Vin number/ Fahrgestellnummer
(ID= Identification number/ Identifikationsnummer)</t>
  </si>
  <si>
    <t>Bitte beachten, dass für eine ICOMM Kopplung evtl. ein anderer Port genutzt werden muss</t>
  </si>
  <si>
    <t>Key of data set (OR/ FG/ FZ/ ID)</t>
  </si>
  <si>
    <t>Connection</t>
  </si>
  <si>
    <t>RFC1006</t>
  </si>
  <si>
    <t>x</t>
  </si>
  <si>
    <t>Hardware</t>
  </si>
  <si>
    <t>PLC</t>
  </si>
  <si>
    <t>type</t>
  </si>
  <si>
    <t>(iso on tcp)</t>
  </si>
  <si>
    <t>PC (ICOMM)</t>
  </si>
  <si>
    <t>IPS-i Destination</t>
  </si>
  <si>
    <t>WAS_0110</t>
  </si>
  <si>
    <t>WAS_0240</t>
  </si>
  <si>
    <t>WAS_3400</t>
  </si>
  <si>
    <t>WAS_0610</t>
  </si>
  <si>
    <t>WAS_0710</t>
  </si>
  <si>
    <t xml:space="preserve">WAS_0920 </t>
  </si>
  <si>
    <t>WAS_1075</t>
  </si>
  <si>
    <t>WAS_1910</t>
  </si>
  <si>
    <t>WAS_1911</t>
  </si>
  <si>
    <t>WAS_1915</t>
  </si>
  <si>
    <t>WAS_1988</t>
  </si>
  <si>
    <t>WAS_3500</t>
  </si>
  <si>
    <t>WAS_3010</t>
  </si>
  <si>
    <t>Update Naming/ Structure</t>
  </si>
  <si>
    <t>Update description for series number</t>
  </si>
  <si>
    <t>Final destination of the message.
Destination is the AKZ of the communication partner. AKZ is a subset of the DNS name and must be setup according to the standardisation</t>
  </si>
  <si>
    <t>TRAN</t>
  </si>
  <si>
    <t>Type of acknowledgement after use of 'NONE' or 'TRAN'. Acknowledgment based on the importance of the trigger point. Preferably 'NONE' for request.</t>
  </si>
  <si>
    <t>alpha-nummeric</t>
  </si>
  <si>
    <t xml:space="preserve">OKAY </t>
  </si>
  <si>
    <t>IPS_MOVE integration for releasing PLC after WAS has completed the association</t>
  </si>
  <si>
    <t>Korrektur TELNAME auf LIS_DATA</t>
  </si>
  <si>
    <t>WAS_MOVE</t>
  </si>
  <si>
    <t>01234567</t>
  </si>
  <si>
    <t>WAS_MO_R</t>
  </si>
  <si>
    <t>WAS spezifisch (intern)</t>
  </si>
  <si>
    <t>Geändert auf WAS_MOVE, da IPS_MOVE in IPS-L enthalten und nicht genutzt. Telegramm komprimiert 
ACKNO Kennung einheitlich auf: TRAN oder NONE (TRAN= Quitiierung) , (NONE= Keine Quittierung)</t>
  </si>
  <si>
    <t>Original sender of the message.</t>
  </si>
  <si>
    <t>PING_PLC</t>
  </si>
  <si>
    <t>PING_P_R</t>
  </si>
  <si>
    <t>WAS sendet einen PING an die SPS zur Prüfung des Verbindungsstatus
WAS sends a PING to the PLC to check the connection status</t>
  </si>
  <si>
    <t>PING_WAS</t>
  </si>
  <si>
    <t>SPS sendet einen PING an WAS zur Prüfung des Verbindungsstatus
PLC sends a PING to WAS to check the connection status</t>
  </si>
  <si>
    <t>Das ist statisch! Es bleibt immer TRAN</t>
  </si>
  <si>
    <t>Name des Telegramms- selbserklärend</t>
  </si>
  <si>
    <t>Name der WAS Verbindung werksspezifisch</t>
  </si>
  <si>
    <t>Anlagenkennzeichen der gekoppelten SPS</t>
  </si>
  <si>
    <t xml:space="preserve">Bestätigung der Verbindung. Hier nur OKAY vorgesehen. </t>
  </si>
  <si>
    <t>Das ist statisch! Es bleibt immer TRAN, da wir immer eine Antwort erhalten.</t>
  </si>
  <si>
    <t xml:space="preserve">Bestätigung des erhaltenen Telegrams. Hier nur OKAY vorgesehen. </t>
  </si>
  <si>
    <t>PING_W_R</t>
  </si>
  <si>
    <t>BMW Group</t>
  </si>
  <si>
    <r>
      <rPr>
        <b/>
        <sz val="10"/>
        <color theme="1"/>
        <rFont val="BMW Group Condensed"/>
        <family val="2"/>
      </rPr>
      <t>Unterlagenklasse / Class of documents :</t>
    </r>
    <r>
      <rPr>
        <sz val="10"/>
        <color theme="1"/>
        <rFont val="BMW Group Condensed"/>
        <family val="2"/>
      </rPr>
      <t xml:space="preserve"> 7.1</t>
    </r>
  </si>
  <si>
    <r>
      <rPr>
        <b/>
        <sz val="10"/>
        <color theme="1"/>
        <rFont val="BMW Group Condensed"/>
        <family val="2"/>
      </rPr>
      <t>Gültigkeitsbereich / Valid for:</t>
    </r>
    <r>
      <rPr>
        <sz val="10"/>
        <color theme="1"/>
        <rFont val="BMW Group Condensed"/>
        <family val="2"/>
      </rPr>
      <t xml:space="preserve"> Technologie Montage / technology final assembly</t>
    </r>
  </si>
  <si>
    <r>
      <rPr>
        <b/>
        <sz val="10"/>
        <color theme="1"/>
        <rFont val="BMW Group Condensed"/>
        <family val="2"/>
      </rPr>
      <t>Status:</t>
    </r>
    <r>
      <rPr>
        <sz val="10"/>
        <color theme="1"/>
        <rFont val="BMW Group Condensed"/>
        <family val="2"/>
      </rPr>
      <t xml:space="preserve">
Valid</t>
    </r>
  </si>
  <si>
    <t>Beteiligte Personen/Fachstellen/Gremien :  
Involved persons/department/committees:</t>
  </si>
  <si>
    <t>Fachteam Steuerungstechnik</t>
  </si>
  <si>
    <t>Änderungshistorie / changes</t>
  </si>
  <si>
    <t>Version / Revision</t>
  </si>
  <si>
    <t>Bemerkung / Remarks</t>
  </si>
  <si>
    <t>Ersteller  / Written by
Kurzzeichen / Department
Datum / Date</t>
  </si>
  <si>
    <t>Prüfer / Validated by
Kurzzeichen / Department
Datum / Date</t>
  </si>
  <si>
    <t>Freigeber / Released on
Kurzzeichen / Department
Datum / Date</t>
  </si>
  <si>
    <t>2.0</t>
  </si>
  <si>
    <t>Lenkungsinformationen eingefügt</t>
  </si>
  <si>
    <t>S. Brauner, TP-412, 17.08.2017</t>
  </si>
  <si>
    <t>D. Hammerschmidt, TP-471, 17.08.2017</t>
  </si>
  <si>
    <t>H. Schwenk, TP-461, 17.08.2017</t>
  </si>
  <si>
    <r>
      <rPr>
        <b/>
        <sz val="10"/>
        <color theme="1"/>
        <rFont val="BMW Group Condensed"/>
        <family val="2"/>
      </rPr>
      <t>Nr.</t>
    </r>
    <r>
      <rPr>
        <sz val="10"/>
        <color theme="1"/>
        <rFont val="BMW Group Condensed"/>
        <family val="2"/>
      </rPr>
      <t>: E_10.05.1</t>
    </r>
  </si>
  <si>
    <t>Alois Wegerer, TR-413, 05.01.2015</t>
  </si>
  <si>
    <t>C. Harnik, TP-412, 08.03.2017</t>
  </si>
  <si>
    <t>C. Harnik, TP-412, 14.03.2017</t>
  </si>
  <si>
    <t>C. Harnik, TP-412, 07.04.2017</t>
  </si>
  <si>
    <t>C. Harnik, TP-412, 04.05.2017</t>
  </si>
  <si>
    <t>C. Harnik, TP-412, 10.05.2017</t>
  </si>
  <si>
    <t>C. Harnik, TP-412, 24.05.2017</t>
  </si>
  <si>
    <t>T. Berger, TP-440, 30.05.2017</t>
  </si>
  <si>
    <t>C. Harnik, TP-412, 31.05.2017</t>
  </si>
  <si>
    <t>1.1</t>
  </si>
  <si>
    <t>1.2</t>
  </si>
  <si>
    <t>1.3</t>
  </si>
  <si>
    <t>1.4</t>
  </si>
  <si>
    <t>1.5</t>
  </si>
  <si>
    <t>1.6</t>
  </si>
  <si>
    <t>1.7</t>
  </si>
  <si>
    <t>1.8</t>
  </si>
  <si>
    <t>C. Harnik, TP-412</t>
  </si>
  <si>
    <t>Anpassung Telegramme nach RS mit T. Berger, A. Wegerer, M. Schratzenstaller</t>
  </si>
  <si>
    <t>IPS-i/ WAS spezifisch (intern)</t>
  </si>
  <si>
    <t>WAS_DATA</t>
  </si>
  <si>
    <t>ID_PUSH1</t>
  </si>
  <si>
    <t>WASIDENT</t>
  </si>
  <si>
    <t>WAS_R_ID</t>
  </si>
  <si>
    <t>This telegram is sent by IPS-i/WAS when entering the Geofence/ Datentelegram von IPS-i/WAS bei Einfahrt in das Geofence</t>
  </si>
  <si>
    <t>Original sender of the message. IPS-i/WAS</t>
  </si>
  <si>
    <t>Destination of the message: AKZ is a subset of the DNS name and must be setup according to the standardisation.</t>
  </si>
  <si>
    <t>TRAN= Acknowledgement / NONE= No Acknowledgement
TRAN is used when handshake is needed.</t>
  </si>
  <si>
    <t>Location (Geofence) where the data is provided from IPS-i/ WAS
Prefered: 5030TT01/ 50210002 HallLineTact. Geofence location is set up by the IPS-i Key User</t>
  </si>
  <si>
    <t xml:space="preserve">Telegramm Name </t>
  </si>
  <si>
    <t>Der Handshake erfolgt ausschließlich mit der Information "TRAN". Wir verwenden kein "NONE" in den WAS Telegrammen, da immer Handshake erforderlich.</t>
  </si>
  <si>
    <t>Identifier des Objektes</t>
  </si>
  <si>
    <t>Objekt ID mit führender Null</t>
  </si>
  <si>
    <t>Sender of the message: AKZ is a subset of the DNS name and must be setup according to the standardisation.</t>
  </si>
  <si>
    <t>Destination of the message. IPS-i/WAS</t>
  </si>
  <si>
    <t xml:space="preserve">0D611395 with leading zero
</t>
  </si>
  <si>
    <t>FG = VIN / FZ= FZS / OR=Order Numeber/ ID=e.g. hole code</t>
  </si>
  <si>
    <t>The PLC requests IPS-i/WAS Data when entering a defined location
Die SPS erfragt die IPS-i/WAS Daten, wenn es in einen definierten Bereich einfährt.</t>
  </si>
  <si>
    <t>As an answer for the request ID_REQU1, IPS-i/WAS answers with "WAS_DATA" including the ident of the object within the requested geofence
Als Antwort auf die Anfrage des "ID_REQU1" antwortet IPS-i/Was mit einem WAS_DATA und dem Ident des Objektes in dem angefragten Geofence.</t>
  </si>
  <si>
    <t>Es können folgende Fehler von WAS an die Anlage gesendet werden:</t>
  </si>
  <si>
    <t>ER02: Mehr als ein Objekt ist innerhalb des angefragten Geofences erkannt worden.</t>
  </si>
  <si>
    <t>ER01: Kein Objekt ist innerhalb des angefragten Geofences erkannt worden.</t>
  </si>
  <si>
    <t>0D611395 with leading zero
If no identification of an vehicle is possible, or 2 Tags are visible within the geofence, IPS-i/WAS provides the key with 8 "0" "00000000"</t>
  </si>
  <si>
    <t>ER03: Angefragter Geofence existiert nicht</t>
  </si>
  <si>
    <t>WAS_DATA for providing data to a PLC if requsted</t>
  </si>
  <si>
    <t>WASIDENT for first initialization of an object</t>
  </si>
  <si>
    <t>WAS_R_ID for acknowlegement of received data telegram</t>
  </si>
  <si>
    <t>The PLC sends the Vin number wihtin the initialization zone to IPS-i/WAS
Die SPS sendet, bei der Einfahrt in den Initialisierungsbereich, die Fahrgestellnummer an IPS-i/WAS</t>
  </si>
  <si>
    <t>WAS_MOVE as status and release from IPS-i/WAS to PLC after a successful initialization</t>
  </si>
  <si>
    <t xml:space="preserve">IPS-i/WAS sends a release to the PLC after the association of object to TAG is successfully finished. 
IPS-i/ WAS sendet eine Freigabe an die SPS nachdem die Zuordnung von Objekt zu TAG erfolgreich abgeschlossen ist. </t>
  </si>
  <si>
    <t>The PLC acknowlegdes the telegram
Die SPS bestätigt den Erhalt des Telegramms.</t>
  </si>
  <si>
    <t>OKAY = telegram received, no further status</t>
  </si>
  <si>
    <t>PING_PLC to check the connection status of the PLC</t>
  </si>
  <si>
    <t>PING_P_R Acknowledgement telegram from PLC</t>
  </si>
  <si>
    <t>WAS_MO_R Acknowledgement telegram from PLC</t>
  </si>
  <si>
    <t>PING_WAS to check the connection status of IPS-i/WAS</t>
  </si>
  <si>
    <t>PING_W_R Acknowledgement telegram from WAS</t>
  </si>
  <si>
    <t>3.0</t>
  </si>
  <si>
    <t>Anpassung der Telegramme für einen einheitlichen Standard</t>
  </si>
  <si>
    <t>C. Harnik, TP-412, 16.04.2018</t>
  </si>
  <si>
    <t>ID_PUSH1 telegram from IPS-i/WAS to PLC</t>
  </si>
  <si>
    <t>Werksspezifische Kennung in IPS-i/WAS zur Kopplung mit den Anlagen</t>
  </si>
  <si>
    <t>Anlagenkennzeichen der Anlage (Eindeutige Kennung der Anlage 8-stellig)</t>
  </si>
  <si>
    <t>OKAY für die Erhaltung des Datentelegramms.</t>
  </si>
  <si>
    <t>Benennung des Geofences analog dem erwarteten Namen der Anlagentechnik. HalleBandTakt ist sinnvoll.Wir werden die Geofences in dieser Darstellung anlegen mit einem Präfix 
z.B. PLC#5211TT05</t>
  </si>
  <si>
    <t>Key</t>
  </si>
  <si>
    <t>ID_REQU2</t>
  </si>
  <si>
    <t>ID_REQU2 for requesting data from IPS-i/WAS (prefered!)</t>
  </si>
  <si>
    <t>NONE</t>
  </si>
  <si>
    <t>Hier kein Handshake erforderlich. Fire and Forget.</t>
  </si>
  <si>
    <t>29- 36</t>
  </si>
  <si>
    <t>37-38</t>
  </si>
  <si>
    <t>39-46</t>
  </si>
  <si>
    <t>RESERVE</t>
  </si>
  <si>
    <t>Filling information</t>
  </si>
  <si>
    <t>Aufgefüllt mit 4 *</t>
  </si>
  <si>
    <t>Anfrage der Anlage, welcher Key erwartet wird (FG, FZ, OR, ID)</t>
  </si>
  <si>
    <t>Wenn ein Errorcode gesendet wird, wird beim Key die 8-stellige "00000000" gesendet.</t>
  </si>
  <si>
    <t>Expected key- Type by PLC (FZ, FG, OR, ID)</t>
  </si>
  <si>
    <t>Aufgefüllt mit 2 *</t>
  </si>
  <si>
    <t>Aufgefüllt mit 8 *</t>
  </si>
  <si>
    <t>4.0</t>
  </si>
  <si>
    <t>C. Harnik, TP-412, 04.06.2018</t>
  </si>
  <si>
    <t xml:space="preserve">Objekt ID mit führender Null. Wenn ein Fehler auftritt z.B. kein Objekt im Geofence oder die Geofencebezeichnung NIO (siehe Fehlercodes), wird ein Platzhalter definiert. Z.B. "00000000". </t>
  </si>
  <si>
    <t>Integration LOCATION in WAS_MOVE und WAS_MO_R
Korrektur Byte-Anzahl WASIDENT
Anpassung Makros</t>
  </si>
  <si>
    <t>Facility specific interface contract IPS-i/WAS
Anlagenspezifischer Schnittstellenkontrakt IPS-i/WAS</t>
  </si>
  <si>
    <t>5.0</t>
  </si>
  <si>
    <t>Integration Telegramm ID_EXIT1</t>
  </si>
  <si>
    <t>T. Berger, TP-441, 31.08.2018</t>
  </si>
  <si>
    <r>
      <rPr>
        <b/>
        <sz val="10"/>
        <color theme="1"/>
        <rFont val="BMW Group Condensed"/>
        <family val="2"/>
      </rPr>
      <t>Version / Revision:</t>
    </r>
    <r>
      <rPr>
        <sz val="10"/>
        <color theme="1"/>
        <rFont val="BMW Group Condensed"/>
        <family val="2"/>
      </rPr>
      <t xml:space="preserve"> 5.0              </t>
    </r>
  </si>
  <si>
    <t>ID_EXIT1</t>
  </si>
  <si>
    <t>This telegram is sent by IPS-i/WAS when leaving the Geofence/ Datentelegram von IPS-i/WAS bei Verlassen des Geofence</t>
  </si>
  <si>
    <t>ID_EXIT1 telegram from IPS-i/WAS to PLC</t>
  </si>
  <si>
    <t>V.5.0</t>
  </si>
  <si>
    <t>4.1</t>
  </si>
  <si>
    <t>Fehlerreaktionen bei ID_REQU2 und WAS_MOVE ergänzt.</t>
  </si>
  <si>
    <t>A. Wegerer, TR-413, 20.08.2018</t>
  </si>
  <si>
    <t>OKAY, if the data is send correctly
ER01-ER04: Error messages if Object withihn the requested geofence is not identified correcty.</t>
  </si>
  <si>
    <t>ER04: angefragter KEY-TYPE wird nicht unterstützt</t>
  </si>
  <si>
    <t>OKAY = telegram received, no further status
ER11-ER12: Error messages</t>
  </si>
  <si>
    <t>Es können folgende Fehler von der Anlage an WAS im Feld 'STATUS' gesendet werden:</t>
  </si>
  <si>
    <t>ER11: LOCATION im empfangenen 'WAS_MOVE' in der PLC nicht bekannt</t>
  </si>
  <si>
    <t>ER12: KeyType für empfangene LOCATION in der PLC nicht bekannt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</si>
</sst>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name val="BMWType V2 Bold"/>
    </font>
    <font>
      <sz val="8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14"/>
      <name val="BMWType V2 Bold"/>
    </font>
    <font>
      <b/>
      <sz val="10"/>
      <color theme="4"/>
      <name val="BMWType V2 Light"/>
    </font>
    <font>
      <b/>
      <sz val="12"/>
      <color theme="0"/>
      <name val="Arial"/>
      <family val="2"/>
    </font>
    <font>
      <b/>
      <sz val="11"/>
      <name val="Courier New"/>
      <family val="3"/>
    </font>
    <font>
      <sz val="11"/>
      <name val="Courier New"/>
      <family val="3"/>
    </font>
    <font>
      <sz val="10"/>
      <color theme="1"/>
      <name val="Calibri"/>
      <family val="2"/>
      <scheme val="minor"/>
    </font>
    <font>
      <b/>
      <u/>
      <sz val="10"/>
      <name val="Arial"/>
      <family val="2"/>
    </font>
    <font>
      <sz val="9"/>
      <color theme="0"/>
      <name val="Arial"/>
      <family val="2"/>
    </font>
    <font>
      <sz val="8"/>
      <color rgb="FFFF0000"/>
      <name val="Arial"/>
      <family val="2"/>
    </font>
    <font>
      <sz val="12"/>
      <color rgb="FFFF0000"/>
      <name val="BMW Group Condensed"/>
      <family val="2"/>
    </font>
    <font>
      <b/>
      <sz val="11"/>
      <color theme="0"/>
      <name val="Arial"/>
      <family val="2"/>
    </font>
    <font>
      <b/>
      <sz val="14"/>
      <name val="Arial"/>
      <family val="2"/>
    </font>
    <font>
      <b/>
      <sz val="12"/>
      <name val="Courier New"/>
      <family val="3"/>
    </font>
    <font>
      <sz val="12"/>
      <name val="Courier New"/>
      <family val="3"/>
    </font>
    <font>
      <sz val="12"/>
      <name val="Arial"/>
      <family val="2"/>
    </font>
    <font>
      <b/>
      <sz val="10"/>
      <color theme="1"/>
      <name val="BMW Group Condensed"/>
      <family val="2"/>
    </font>
    <font>
      <sz val="10"/>
      <color theme="1"/>
      <name val="BMW Group Condensed"/>
      <family val="2"/>
    </font>
    <font>
      <b/>
      <sz val="12"/>
      <color theme="1"/>
      <name val="BMW Group Condensed"/>
      <family val="2"/>
    </font>
    <font>
      <b/>
      <sz val="12"/>
      <color rgb="FF000000"/>
      <name val="BMW Group Condensed"/>
      <family val="2"/>
    </font>
    <font>
      <sz val="10"/>
      <color rgb="FF000000"/>
      <name val="BMW Group Condensed"/>
      <family val="2"/>
    </font>
    <font>
      <sz val="9"/>
      <color theme="1"/>
      <name val="BMW Group Condensed"/>
      <family val="2"/>
    </font>
    <font>
      <u/>
      <sz val="10"/>
      <name val="Arial"/>
      <family val="2"/>
    </font>
    <font>
      <b/>
      <sz val="16"/>
      <color theme="3" tint="0.39997558519241921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BMW Group Condensed"/>
      <family val="2"/>
    </font>
    <font>
      <sz val="9"/>
      <color rgb="FFFF0000"/>
      <name val="BMW Group Condense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theme="1"/>
      </bottom>
      <diagonal/>
    </border>
    <border>
      <left style="medium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/>
      <top/>
      <bottom/>
      <diagonal/>
    </border>
    <border>
      <left style="medium">
        <color indexed="22"/>
      </left>
      <right style="medium">
        <color indexed="64"/>
      </right>
      <top/>
      <bottom/>
      <diagonal/>
    </border>
    <border>
      <left style="medium">
        <color indexed="22"/>
      </left>
      <right style="medium">
        <color indexed="64"/>
      </right>
      <top/>
      <bottom style="medium">
        <color indexed="22"/>
      </bottom>
      <diagonal/>
    </border>
    <border>
      <left/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22"/>
      </right>
      <top/>
      <bottom style="medium">
        <color indexed="64"/>
      </bottom>
      <diagonal/>
    </border>
    <border>
      <left style="medium">
        <color indexed="22"/>
      </left>
      <right/>
      <top style="medium">
        <color indexed="64"/>
      </top>
      <bottom style="medium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22"/>
      </top>
      <bottom/>
      <diagonal/>
    </border>
    <border>
      <left style="medium">
        <color indexed="64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/>
      <bottom style="medium">
        <color indexed="64"/>
      </bottom>
      <diagonal/>
    </border>
    <border>
      <left style="medium">
        <color indexed="64"/>
      </left>
      <right style="medium">
        <color indexed="22"/>
      </right>
      <top/>
      <bottom style="medium">
        <color indexed="22"/>
      </bottom>
      <diagonal/>
    </border>
    <border>
      <left style="medium">
        <color indexed="22"/>
      </left>
      <right/>
      <top/>
      <bottom style="medium">
        <color indexed="64"/>
      </bottom>
      <diagonal/>
    </border>
    <border>
      <left/>
      <right style="medium">
        <color indexed="22"/>
      </right>
      <top/>
      <bottom style="medium">
        <color indexed="22"/>
      </bottom>
      <diagonal/>
    </border>
    <border>
      <left/>
      <right style="medium">
        <color indexed="22"/>
      </right>
      <top/>
      <bottom/>
      <diagonal/>
    </border>
    <border>
      <left/>
      <right style="medium">
        <color indexed="22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 style="medium">
        <color indexed="22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22"/>
      </right>
      <top style="medium">
        <color indexed="64"/>
      </top>
      <bottom/>
      <diagonal/>
    </border>
    <border>
      <left style="medium">
        <color indexed="22"/>
      </left>
      <right style="medium">
        <color indexed="22"/>
      </right>
      <top style="medium">
        <color indexed="64"/>
      </top>
      <bottom/>
      <diagonal/>
    </border>
    <border>
      <left style="medium">
        <color indexed="22"/>
      </left>
      <right/>
      <top style="medium">
        <color indexed="64"/>
      </top>
      <bottom/>
      <diagonal/>
    </border>
    <border>
      <left style="medium">
        <color indexed="22"/>
      </left>
      <right style="medium">
        <color indexed="64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/>
      <bottom style="medium">
        <color indexed="22"/>
      </bottom>
      <diagonal/>
    </border>
  </borders>
  <cellStyleXfs count="7">
    <xf numFmtId="0" fontId="0" fillId="0" borderId="0"/>
    <xf numFmtId="0" fontId="3" fillId="0" borderId="0"/>
    <xf numFmtId="0" fontId="4" fillId="0" borderId="0"/>
    <xf numFmtId="0" fontId="2" fillId="0" borderId="0"/>
    <xf numFmtId="0" fontId="4" fillId="0" borderId="0"/>
    <xf numFmtId="0" fontId="19" fillId="0" borderId="0"/>
    <xf numFmtId="0" fontId="1" fillId="0" borderId="0"/>
  </cellStyleXfs>
  <cellXfs count="315">
    <xf numFmtId="0" fontId="0" fillId="0" borderId="0" xfId="0"/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0" fillId="0" borderId="0" xfId="0"/>
    <xf numFmtId="0" fontId="4" fillId="0" borderId="0" xfId="0" applyFont="1"/>
    <xf numFmtId="0" fontId="0" fillId="0" borderId="0" xfId="0" applyFill="1"/>
    <xf numFmtId="0" fontId="8" fillId="0" borderId="0" xfId="0" applyFont="1" applyAlignment="1"/>
    <xf numFmtId="0" fontId="9" fillId="0" borderId="0" xfId="0" applyFont="1" applyAlignment="1">
      <alignment vertical="top"/>
    </xf>
    <xf numFmtId="0" fontId="0" fillId="5" borderId="0" xfId="0" applyFill="1"/>
    <xf numFmtId="0" fontId="4" fillId="4" borderId="0" xfId="0" applyFont="1" applyFill="1" applyBorder="1"/>
    <xf numFmtId="0" fontId="4" fillId="0" borderId="0" xfId="0" applyFont="1" applyFill="1"/>
    <xf numFmtId="0" fontId="0" fillId="3" borderId="0" xfId="0" applyFill="1"/>
    <xf numFmtId="0" fontId="4" fillId="3" borderId="19" xfId="0" applyFont="1" applyFill="1" applyBorder="1"/>
    <xf numFmtId="0" fontId="0" fillId="3" borderId="19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7" fillId="0" borderId="0" xfId="0" applyFont="1" applyFill="1"/>
    <xf numFmtId="0" fontId="4" fillId="3" borderId="0" xfId="0" applyFont="1" applyFill="1" applyAlignment="1">
      <alignment horizontal="left"/>
    </xf>
    <xf numFmtId="0" fontId="4" fillId="3" borderId="0" xfId="0" applyFont="1" applyFill="1"/>
    <xf numFmtId="0" fontId="4" fillId="3" borderId="19" xfId="0" applyFont="1" applyFill="1" applyBorder="1" applyAlignment="1"/>
    <xf numFmtId="0" fontId="5" fillId="3" borderId="19" xfId="0" applyFont="1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 applyBorder="1"/>
    <xf numFmtId="0" fontId="0" fillId="4" borderId="24" xfId="0" applyFill="1" applyBorder="1"/>
    <xf numFmtId="0" fontId="5" fillId="4" borderId="0" xfId="0" applyFont="1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49" fontId="6" fillId="6" borderId="1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49" fontId="6" fillId="6" borderId="3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right" vertical="center"/>
    </xf>
    <xf numFmtId="49" fontId="4" fillId="6" borderId="6" xfId="0" applyNumberFormat="1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vertical="center" wrapText="1"/>
    </xf>
    <xf numFmtId="0" fontId="4" fillId="6" borderId="3" xfId="0" applyFont="1" applyFill="1" applyBorder="1" applyAlignment="1">
      <alignment horizontal="right" vertical="center"/>
    </xf>
    <xf numFmtId="0" fontId="4" fillId="6" borderId="15" xfId="0" applyFont="1" applyFill="1" applyBorder="1" applyAlignment="1">
      <alignment vertical="center" wrapText="1"/>
    </xf>
    <xf numFmtId="49" fontId="4" fillId="6" borderId="6" xfId="0" applyNumberFormat="1" applyFont="1" applyFill="1" applyBorder="1" applyAlignment="1">
      <alignment horizontal="center" vertical="center"/>
    </xf>
    <xf numFmtId="49" fontId="4" fillId="6" borderId="3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49" fontId="4" fillId="0" borderId="8" xfId="0" applyNumberFormat="1" applyFont="1" applyFill="1" applyBorder="1" applyAlignment="1">
      <alignment horizontal="right" vertical="center"/>
    </xf>
    <xf numFmtId="49" fontId="4" fillId="0" borderId="14" xfId="0" applyNumberFormat="1" applyFont="1" applyFill="1" applyBorder="1" applyAlignment="1">
      <alignment vertical="center" wrapText="1"/>
    </xf>
    <xf numFmtId="0" fontId="4" fillId="4" borderId="26" xfId="0" applyFont="1" applyFill="1" applyBorder="1"/>
    <xf numFmtId="0" fontId="0" fillId="7" borderId="21" xfId="0" applyFill="1" applyBorder="1"/>
    <xf numFmtId="0" fontId="0" fillId="7" borderId="23" xfId="0" applyFill="1" applyBorder="1"/>
    <xf numFmtId="0" fontId="0" fillId="7" borderId="0" xfId="0" applyFill="1" applyBorder="1"/>
    <xf numFmtId="0" fontId="5" fillId="7" borderId="0" xfId="0" applyFont="1" applyFill="1" applyBorder="1" applyAlignment="1">
      <alignment vertical="center"/>
    </xf>
    <xf numFmtId="0" fontId="10" fillId="7" borderId="0" xfId="0" applyFont="1" applyFill="1" applyBorder="1"/>
    <xf numFmtId="0" fontId="11" fillId="8" borderId="19" xfId="0" applyFont="1" applyFill="1" applyBorder="1" applyAlignment="1">
      <alignment wrapText="1"/>
    </xf>
    <xf numFmtId="0" fontId="13" fillId="8" borderId="19" xfId="0" applyFont="1" applyFill="1" applyBorder="1" applyAlignment="1">
      <alignment wrapText="1"/>
    </xf>
    <xf numFmtId="0" fontId="0" fillId="7" borderId="25" xfId="0" applyFill="1" applyBorder="1"/>
    <xf numFmtId="0" fontId="0" fillId="7" borderId="26" xfId="0" applyFill="1" applyBorder="1"/>
    <xf numFmtId="0" fontId="4" fillId="7" borderId="0" xfId="0" applyFont="1" applyFill="1" applyBorder="1" applyAlignment="1">
      <alignment horizontal="left" vertical="center" wrapText="1"/>
    </xf>
    <xf numFmtId="0" fontId="5" fillId="7" borderId="20" xfId="0" applyFont="1" applyFill="1" applyBorder="1"/>
    <xf numFmtId="0" fontId="0" fillId="7" borderId="22" xfId="0" applyFill="1" applyBorder="1"/>
    <xf numFmtId="0" fontId="0" fillId="7" borderId="24" xfId="0" applyFill="1" applyBorder="1"/>
    <xf numFmtId="0" fontId="0" fillId="7" borderId="27" xfId="0" applyFill="1" applyBorder="1"/>
    <xf numFmtId="0" fontId="15" fillId="0" borderId="0" xfId="0" applyFont="1" applyAlignment="1">
      <alignment vertical="top"/>
    </xf>
    <xf numFmtId="0" fontId="16" fillId="8" borderId="19" xfId="0" applyFont="1" applyFill="1" applyBorder="1" applyAlignment="1">
      <alignment horizontal="center"/>
    </xf>
    <xf numFmtId="0" fontId="10" fillId="9" borderId="19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 wrapText="1"/>
    </xf>
    <xf numFmtId="0" fontId="4" fillId="4" borderId="21" xfId="0" applyFont="1" applyFill="1" applyBorder="1"/>
    <xf numFmtId="0" fontId="0" fillId="7" borderId="20" xfId="0" applyFill="1" applyBorder="1"/>
    <xf numFmtId="0" fontId="0" fillId="7" borderId="0" xfId="0" applyFill="1" applyBorder="1" applyAlignment="1">
      <alignment vertical="top"/>
    </xf>
    <xf numFmtId="0" fontId="4" fillId="4" borderId="0" xfId="0" applyFont="1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17" fillId="6" borderId="6" xfId="0" applyNumberFormat="1" applyFont="1" applyFill="1" applyBorder="1" applyAlignment="1">
      <alignment horizontal="right" vertical="center"/>
    </xf>
    <xf numFmtId="49" fontId="18" fillId="6" borderId="6" xfId="0" applyNumberFormat="1" applyFont="1" applyFill="1" applyBorder="1" applyAlignment="1">
      <alignment horizontal="right" vertical="center"/>
    </xf>
    <xf numFmtId="49" fontId="18" fillId="6" borderId="6" xfId="0" applyNumberFormat="1" applyFont="1" applyFill="1" applyBorder="1" applyAlignment="1">
      <alignment horizontal="right" vertical="center" wrapText="1"/>
    </xf>
    <xf numFmtId="49" fontId="18" fillId="0" borderId="8" xfId="0" applyNumberFormat="1" applyFont="1" applyFill="1" applyBorder="1" applyAlignment="1">
      <alignment horizontal="right" vertical="center"/>
    </xf>
    <xf numFmtId="0" fontId="4" fillId="4" borderId="26" xfId="0" applyFont="1" applyFill="1" applyBorder="1" applyAlignment="1">
      <alignment wrapText="1"/>
    </xf>
    <xf numFmtId="0" fontId="5" fillId="7" borderId="0" xfId="0" applyFont="1" applyFill="1" applyBorder="1" applyAlignment="1">
      <alignment vertical="top"/>
    </xf>
    <xf numFmtId="0" fontId="6" fillId="6" borderId="5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right" vertical="center"/>
    </xf>
    <xf numFmtId="49" fontId="4" fillId="6" borderId="14" xfId="0" applyNumberFormat="1" applyFont="1" applyFill="1" applyBorder="1" applyAlignment="1">
      <alignment vertical="center" wrapText="1"/>
    </xf>
    <xf numFmtId="49" fontId="4" fillId="6" borderId="31" xfId="0" applyNumberFormat="1" applyFont="1" applyFill="1" applyBorder="1" applyAlignment="1">
      <alignment horizontal="center" vertical="center" wrapText="1"/>
    </xf>
    <xf numFmtId="49" fontId="6" fillId="6" borderId="7" xfId="0" applyNumberFormat="1" applyFont="1" applyFill="1" applyBorder="1" applyAlignment="1">
      <alignment horizontal="center" vertical="center"/>
    </xf>
    <xf numFmtId="49" fontId="18" fillId="6" borderId="8" xfId="0" applyNumberFormat="1" applyFont="1" applyFill="1" applyBorder="1" applyAlignment="1">
      <alignment horizontal="right" vertical="center" wrapText="1"/>
    </xf>
    <xf numFmtId="49" fontId="4" fillId="6" borderId="8" xfId="0" applyNumberFormat="1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left" vertical="center" wrapText="1"/>
    </xf>
    <xf numFmtId="49" fontId="17" fillId="6" borderId="6" xfId="0" applyNumberFormat="1" applyFont="1" applyFill="1" applyBorder="1" applyAlignment="1">
      <alignment horizontal="right" vertical="center"/>
    </xf>
    <xf numFmtId="49" fontId="17" fillId="6" borderId="31" xfId="0" applyNumberFormat="1" applyFont="1" applyFill="1" applyBorder="1" applyAlignment="1">
      <alignment horizontal="right" vertical="center"/>
    </xf>
    <xf numFmtId="49" fontId="4" fillId="6" borderId="7" xfId="0" applyNumberFormat="1" applyFont="1" applyFill="1" applyBorder="1" applyAlignment="1">
      <alignment horizontal="center" vertical="center"/>
    </xf>
    <xf numFmtId="49" fontId="4" fillId="6" borderId="8" xfId="0" applyNumberFormat="1" applyFont="1" applyFill="1" applyBorder="1" applyAlignment="1">
      <alignment horizontal="center" vertical="center" wrapText="1"/>
    </xf>
    <xf numFmtId="49" fontId="4" fillId="6" borderId="32" xfId="0" applyNumberFormat="1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left" vertical="center" wrapText="1"/>
    </xf>
    <xf numFmtId="49" fontId="4" fillId="0" borderId="0" xfId="0" applyNumberFormat="1" applyFont="1" applyFill="1" applyBorder="1" applyAlignment="1">
      <alignment horizontal="left" vertical="center"/>
    </xf>
    <xf numFmtId="0" fontId="4" fillId="7" borderId="0" xfId="0" applyFont="1" applyFill="1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vertical="top" wrapText="1"/>
    </xf>
    <xf numFmtId="0" fontId="21" fillId="8" borderId="19" xfId="0" applyFont="1" applyFill="1" applyBorder="1" applyAlignment="1">
      <alignment wrapText="1"/>
    </xf>
    <xf numFmtId="49" fontId="10" fillId="9" borderId="19" xfId="0" applyNumberFormat="1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left" vertical="center" wrapText="1"/>
    </xf>
    <xf numFmtId="49" fontId="22" fillId="9" borderId="19" xfId="0" applyNumberFormat="1" applyFont="1" applyFill="1" applyBorder="1" applyAlignment="1">
      <alignment horizontal="center" vertical="center"/>
    </xf>
    <xf numFmtId="0" fontId="22" fillId="9" borderId="19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5" fillId="7" borderId="21" xfId="0" applyFont="1" applyFill="1" applyBorder="1" applyAlignment="1"/>
    <xf numFmtId="0" fontId="0" fillId="7" borderId="0" xfId="0" applyFill="1" applyBorder="1" applyAlignment="1">
      <alignment wrapText="1"/>
    </xf>
    <xf numFmtId="0" fontId="5" fillId="7" borderId="21" xfId="0" applyFont="1" applyFill="1" applyBorder="1"/>
    <xf numFmtId="0" fontId="24" fillId="8" borderId="19" xfId="0" applyFont="1" applyFill="1" applyBorder="1" applyAlignment="1"/>
    <xf numFmtId="0" fontId="4" fillId="4" borderId="0" xfId="0" applyFont="1" applyFill="1" applyBorder="1" applyAlignment="1">
      <alignment horizontal="left"/>
    </xf>
    <xf numFmtId="0" fontId="4" fillId="4" borderId="26" xfId="0" applyFont="1" applyFill="1" applyBorder="1" applyAlignment="1">
      <alignment horizontal="left"/>
    </xf>
    <xf numFmtId="0" fontId="4" fillId="3" borderId="0" xfId="0" applyFont="1" applyFill="1" applyBorder="1"/>
    <xf numFmtId="0" fontId="4" fillId="4" borderId="0" xfId="0" applyFont="1" applyFill="1" applyBorder="1" applyAlignment="1"/>
    <xf numFmtId="0" fontId="5" fillId="4" borderId="0" xfId="0" applyFont="1" applyFill="1" applyBorder="1" applyAlignment="1">
      <alignment horizontal="right"/>
    </xf>
    <xf numFmtId="0" fontId="0" fillId="3" borderId="19" xfId="0" applyFill="1" applyBorder="1"/>
    <xf numFmtId="0" fontId="5" fillId="4" borderId="26" xfId="0" applyFont="1" applyFill="1" applyBorder="1"/>
    <xf numFmtId="0" fontId="25" fillId="0" borderId="0" xfId="0" applyFont="1"/>
    <xf numFmtId="0" fontId="10" fillId="0" borderId="0" xfId="0" applyFont="1" applyFill="1" applyBorder="1" applyAlignment="1">
      <alignment horizontal="center" wrapText="1"/>
    </xf>
    <xf numFmtId="0" fontId="28" fillId="0" borderId="0" xfId="0" applyFont="1" applyAlignment="1">
      <alignment vertical="top" wrapText="1"/>
    </xf>
    <xf numFmtId="0" fontId="27" fillId="0" borderId="0" xfId="0" applyFont="1" applyAlignment="1">
      <alignment vertical="top" wrapText="1"/>
    </xf>
    <xf numFmtId="0" fontId="4" fillId="6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26" fillId="6" borderId="6" xfId="0" applyNumberFormat="1" applyFont="1" applyFill="1" applyBorder="1" applyAlignment="1">
      <alignment horizontal="right" vertical="center"/>
    </xf>
    <xf numFmtId="0" fontId="4" fillId="6" borderId="4" xfId="0" applyFont="1" applyFill="1" applyBorder="1" applyAlignment="1">
      <alignment horizontal="center" vertical="center"/>
    </xf>
    <xf numFmtId="49" fontId="27" fillId="6" borderId="6" xfId="0" applyNumberFormat="1" applyFont="1" applyFill="1" applyBorder="1" applyAlignment="1">
      <alignment horizontal="right" vertical="center"/>
    </xf>
    <xf numFmtId="0" fontId="4" fillId="6" borderId="36" xfId="0" applyFont="1" applyFill="1" applyBorder="1" applyAlignment="1">
      <alignment horizontal="right" vertical="center"/>
    </xf>
    <xf numFmtId="0" fontId="4" fillId="6" borderId="37" xfId="0" applyNumberFormat="1" applyFont="1" applyFill="1" applyBorder="1" applyAlignment="1">
      <alignment horizontal="center" vertical="center"/>
    </xf>
    <xf numFmtId="0" fontId="4" fillId="6" borderId="38" xfId="0" applyFont="1" applyFill="1" applyBorder="1" applyAlignment="1">
      <alignment horizontal="right" vertical="center"/>
    </xf>
    <xf numFmtId="0" fontId="4" fillId="6" borderId="1" xfId="0" applyNumberFormat="1" applyFont="1" applyFill="1" applyBorder="1" applyAlignment="1">
      <alignment horizontal="center" vertical="center"/>
    </xf>
    <xf numFmtId="0" fontId="26" fillId="6" borderId="40" xfId="0" applyNumberFormat="1" applyFont="1" applyFill="1" applyBorder="1" applyAlignment="1">
      <alignment horizontal="right" vertical="center"/>
    </xf>
    <xf numFmtId="49" fontId="4" fillId="6" borderId="40" xfId="0" applyNumberFormat="1" applyFont="1" applyFill="1" applyBorder="1" applyAlignment="1">
      <alignment horizontal="center" vertical="center" wrapText="1"/>
    </xf>
    <xf numFmtId="0" fontId="4" fillId="6" borderId="3" xfId="0" applyNumberFormat="1" applyFont="1" applyFill="1" applyBorder="1" applyAlignment="1">
      <alignment horizontal="center" vertical="center"/>
    </xf>
    <xf numFmtId="49" fontId="4" fillId="6" borderId="9" xfId="0" applyNumberFormat="1" applyFont="1" applyFill="1" applyBorder="1" applyAlignment="1">
      <alignment horizontal="left" vertical="center"/>
    </xf>
    <xf numFmtId="0" fontId="7" fillId="10" borderId="11" xfId="0" applyFont="1" applyFill="1" applyBorder="1" applyAlignment="1">
      <alignment horizontal="center" vertical="center" wrapText="1"/>
    </xf>
    <xf numFmtId="0" fontId="4" fillId="11" borderId="41" xfId="0" applyFont="1" applyFill="1" applyBorder="1" applyAlignment="1">
      <alignment horizontal="left" vertical="center" wrapText="1"/>
    </xf>
    <xf numFmtId="0" fontId="4" fillId="11" borderId="4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6" borderId="9" xfId="0" applyFont="1" applyFill="1" applyBorder="1" applyAlignment="1">
      <alignment horizontal="left" vertical="center" wrapText="1"/>
    </xf>
    <xf numFmtId="0" fontId="4" fillId="6" borderId="5" xfId="0" applyFont="1" applyFill="1" applyBorder="1" applyAlignment="1">
      <alignment horizontal="center" vertical="center"/>
    </xf>
    <xf numFmtId="49" fontId="27" fillId="6" borderId="8" xfId="0" applyNumberFormat="1" applyFont="1" applyFill="1" applyBorder="1" applyAlignment="1">
      <alignment horizontal="right" vertical="center"/>
    </xf>
    <xf numFmtId="0" fontId="30" fillId="0" borderId="19" xfId="6" applyFont="1" applyBorder="1" applyAlignment="1">
      <alignment vertical="top" wrapText="1"/>
    </xf>
    <xf numFmtId="0" fontId="1" fillId="0" borderId="0" xfId="6" applyBorder="1"/>
    <xf numFmtId="0" fontId="1" fillId="0" borderId="0" xfId="6"/>
    <xf numFmtId="0" fontId="33" fillId="0" borderId="19" xfId="6" applyFont="1" applyBorder="1" applyAlignment="1">
      <alignment horizontal="left" vertical="center" wrapText="1" readingOrder="1"/>
    </xf>
    <xf numFmtId="0" fontId="29" fillId="12" borderId="19" xfId="6" applyFont="1" applyFill="1" applyBorder="1" applyAlignment="1">
      <alignment wrapText="1"/>
    </xf>
    <xf numFmtId="0" fontId="29" fillId="12" borderId="19" xfId="6" applyFont="1" applyFill="1" applyBorder="1"/>
    <xf numFmtId="0" fontId="34" fillId="0" borderId="19" xfId="6" applyFont="1" applyBorder="1" applyAlignment="1">
      <alignment vertical="top" wrapText="1"/>
    </xf>
    <xf numFmtId="14" fontId="34" fillId="0" borderId="19" xfId="6" applyNumberFormat="1" applyFont="1" applyBorder="1" applyAlignment="1">
      <alignment vertical="top" wrapText="1"/>
    </xf>
    <xf numFmtId="0" fontId="34" fillId="0" borderId="19" xfId="6" applyFont="1" applyBorder="1" applyAlignment="1">
      <alignment wrapText="1"/>
    </xf>
    <xf numFmtId="0" fontId="1" fillId="0" borderId="0" xfId="6" applyAlignment="1">
      <alignment wrapText="1"/>
    </xf>
    <xf numFmtId="49" fontId="34" fillId="0" borderId="19" xfId="6" applyNumberFormat="1" applyFont="1" applyBorder="1" applyAlignment="1">
      <alignment vertical="top"/>
    </xf>
    <xf numFmtId="49" fontId="34" fillId="0" borderId="19" xfId="6" applyNumberFormat="1" applyFont="1" applyBorder="1"/>
    <xf numFmtId="0" fontId="4" fillId="11" borderId="43" xfId="0" applyFont="1" applyFill="1" applyBorder="1" applyAlignment="1">
      <alignment vertical="center" wrapText="1"/>
    </xf>
    <xf numFmtId="0" fontId="4" fillId="11" borderId="41" xfId="0" applyFont="1" applyFill="1" applyBorder="1" applyAlignment="1">
      <alignment vertical="center" wrapText="1"/>
    </xf>
    <xf numFmtId="0" fontId="1" fillId="0" borderId="0" xfId="6" applyFill="1" applyBorder="1"/>
    <xf numFmtId="0" fontId="1" fillId="0" borderId="0" xfId="6" applyFill="1"/>
    <xf numFmtId="0" fontId="30" fillId="0" borderId="19" xfId="6" applyFont="1" applyFill="1" applyBorder="1" applyAlignment="1">
      <alignment wrapText="1"/>
    </xf>
    <xf numFmtId="49" fontId="4" fillId="6" borderId="44" xfId="0" applyNumberFormat="1" applyFont="1" applyFill="1" applyBorder="1" applyAlignment="1">
      <alignment horizontal="center" vertical="center"/>
    </xf>
    <xf numFmtId="49" fontId="4" fillId="6" borderId="45" xfId="0" applyNumberFormat="1" applyFont="1" applyFill="1" applyBorder="1" applyAlignment="1">
      <alignment horizontal="center" vertical="center"/>
    </xf>
    <xf numFmtId="49" fontId="18" fillId="6" borderId="32" xfId="0" applyNumberFormat="1" applyFont="1" applyFill="1" applyBorder="1" applyAlignment="1">
      <alignment horizontal="right" vertical="center" wrapText="1"/>
    </xf>
    <xf numFmtId="49" fontId="4" fillId="6" borderId="32" xfId="0" applyNumberFormat="1" applyFont="1" applyFill="1" applyBorder="1" applyAlignment="1">
      <alignment horizontal="center" vertical="center"/>
    </xf>
    <xf numFmtId="49" fontId="4" fillId="6" borderId="9" xfId="0" applyNumberFormat="1" applyFont="1" applyFill="1" applyBorder="1" applyAlignment="1">
      <alignment horizontal="left" vertical="center" wrapText="1"/>
    </xf>
    <xf numFmtId="49" fontId="4" fillId="6" borderId="46" xfId="0" applyNumberFormat="1" applyFont="1" applyFill="1" applyBorder="1" applyAlignment="1">
      <alignment horizontal="center" vertical="center" wrapText="1"/>
    </xf>
    <xf numFmtId="0" fontId="4" fillId="6" borderId="37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4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17" fillId="6" borderId="32" xfId="0" applyNumberFormat="1" applyFont="1" applyFill="1" applyBorder="1" applyAlignment="1">
      <alignment horizontal="right" vertical="center" wrapText="1"/>
    </xf>
    <xf numFmtId="49" fontId="17" fillId="6" borderId="6" xfId="0" applyNumberFormat="1" applyFont="1" applyFill="1" applyBorder="1" applyAlignment="1">
      <alignment horizontal="right" vertical="center" wrapText="1"/>
    </xf>
    <xf numFmtId="49" fontId="18" fillId="6" borderId="46" xfId="0" applyNumberFormat="1" applyFont="1" applyFill="1" applyBorder="1" applyAlignment="1">
      <alignment horizontal="right" vertical="center"/>
    </xf>
    <xf numFmtId="49" fontId="18" fillId="6" borderId="33" xfId="0" applyNumberFormat="1" applyFont="1" applyFill="1" applyBorder="1" applyAlignment="1">
      <alignment horizontal="right" vertical="center"/>
    </xf>
    <xf numFmtId="0" fontId="4" fillId="6" borderId="47" xfId="0" applyFont="1" applyFill="1" applyBorder="1" applyAlignment="1">
      <alignment horizontal="right" vertical="center"/>
    </xf>
    <xf numFmtId="0" fontId="4" fillId="6" borderId="48" xfId="0" applyFont="1" applyFill="1" applyBorder="1" applyAlignment="1">
      <alignment horizontal="right" vertical="center"/>
    </xf>
    <xf numFmtId="0" fontId="4" fillId="6" borderId="49" xfId="0" applyFont="1" applyFill="1" applyBorder="1" applyAlignment="1">
      <alignment horizontal="right" vertical="center"/>
    </xf>
    <xf numFmtId="0" fontId="6" fillId="6" borderId="35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37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right" vertical="center"/>
    </xf>
    <xf numFmtId="0" fontId="6" fillId="6" borderId="36" xfId="0" applyFont="1" applyFill="1" applyBorder="1" applyAlignment="1">
      <alignment horizontal="right" vertical="center"/>
    </xf>
    <xf numFmtId="0" fontId="6" fillId="6" borderId="9" xfId="0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right" vertical="center"/>
    </xf>
    <xf numFmtId="0" fontId="5" fillId="6" borderId="3" xfId="0" applyFont="1" applyFill="1" applyBorder="1" applyAlignment="1">
      <alignment horizontal="right" vertical="center"/>
    </xf>
    <xf numFmtId="0" fontId="0" fillId="13" borderId="0" xfId="0" applyFill="1"/>
    <xf numFmtId="0" fontId="4" fillId="13" borderId="0" xfId="0" applyFont="1" applyFill="1"/>
    <xf numFmtId="0" fontId="20" fillId="13" borderId="0" xfId="0" applyFont="1" applyFill="1"/>
    <xf numFmtId="0" fontId="35" fillId="13" borderId="0" xfId="0" applyFont="1" applyFill="1"/>
    <xf numFmtId="49" fontId="26" fillId="0" borderId="0" xfId="0" applyNumberFormat="1" applyFont="1" applyFill="1" applyBorder="1" applyAlignment="1">
      <alignment horizontal="right" vertical="center"/>
    </xf>
    <xf numFmtId="49" fontId="4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36" fillId="0" borderId="0" xfId="0" applyFont="1" applyAlignment="1"/>
    <xf numFmtId="0" fontId="5" fillId="6" borderId="47" xfId="0" applyFont="1" applyFill="1" applyBorder="1" applyAlignment="1">
      <alignment horizontal="right" vertical="center"/>
    </xf>
    <xf numFmtId="0" fontId="5" fillId="6" borderId="36" xfId="0" applyFont="1" applyFill="1" applyBorder="1" applyAlignment="1">
      <alignment horizontal="right" vertical="center"/>
    </xf>
    <xf numFmtId="0" fontId="4" fillId="6" borderId="44" xfId="0" applyFont="1" applyFill="1" applyBorder="1" applyAlignment="1">
      <alignment horizontal="center" vertical="center"/>
    </xf>
    <xf numFmtId="49" fontId="27" fillId="6" borderId="39" xfId="0" applyNumberFormat="1" applyFont="1" applyFill="1" applyBorder="1" applyAlignment="1">
      <alignment horizontal="right" vertical="center"/>
    </xf>
    <xf numFmtId="49" fontId="4" fillId="6" borderId="14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center" vertical="center"/>
    </xf>
    <xf numFmtId="49" fontId="27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horizontal="left" vertical="center" wrapText="1"/>
    </xf>
    <xf numFmtId="0" fontId="6" fillId="6" borderId="14" xfId="0" applyFont="1" applyFill="1" applyBorder="1" applyAlignment="1">
      <alignment horizontal="left" vertical="center" wrapText="1"/>
    </xf>
    <xf numFmtId="49" fontId="18" fillId="0" borderId="0" xfId="0" applyNumberFormat="1" applyFont="1" applyFill="1" applyBorder="1" applyAlignment="1">
      <alignment horizontal="right" vertical="center"/>
    </xf>
    <xf numFmtId="14" fontId="30" fillId="0" borderId="19" xfId="6" applyNumberFormat="1" applyFont="1" applyFill="1" applyBorder="1" applyAlignment="1">
      <alignment wrapText="1"/>
    </xf>
    <xf numFmtId="0" fontId="4" fillId="11" borderId="50" xfId="0" applyFont="1" applyFill="1" applyBorder="1" applyAlignment="1">
      <alignment vertical="center" wrapText="1"/>
    </xf>
    <xf numFmtId="0" fontId="37" fillId="0" borderId="0" xfId="0" applyFont="1"/>
    <xf numFmtId="0" fontId="4" fillId="6" borderId="40" xfId="0" applyFont="1" applyFill="1" applyBorder="1" applyAlignment="1">
      <alignment horizontal="left" vertical="center" wrapText="1"/>
    </xf>
    <xf numFmtId="0" fontId="4" fillId="11" borderId="51" xfId="0" applyFont="1" applyFill="1" applyBorder="1" applyAlignment="1">
      <alignment vertical="center" wrapText="1"/>
    </xf>
    <xf numFmtId="49" fontId="4" fillId="14" borderId="44" xfId="0" applyNumberFormat="1" applyFont="1" applyFill="1" applyBorder="1" applyAlignment="1">
      <alignment horizontal="center" vertical="center"/>
    </xf>
    <xf numFmtId="0" fontId="6" fillId="14" borderId="37" xfId="0" applyFont="1" applyFill="1" applyBorder="1" applyAlignment="1">
      <alignment horizontal="center" vertical="center"/>
    </xf>
    <xf numFmtId="0" fontId="4" fillId="14" borderId="49" xfId="0" applyFont="1" applyFill="1" applyBorder="1" applyAlignment="1">
      <alignment horizontal="right" vertical="center"/>
    </xf>
    <xf numFmtId="49" fontId="18" fillId="14" borderId="46" xfId="0" applyNumberFormat="1" applyFont="1" applyFill="1" applyBorder="1" applyAlignment="1">
      <alignment horizontal="right" vertical="center"/>
    </xf>
    <xf numFmtId="49" fontId="4" fillId="14" borderId="46" xfId="0" applyNumberFormat="1" applyFont="1" applyFill="1" applyBorder="1" applyAlignment="1">
      <alignment horizontal="center" vertical="center" wrapText="1"/>
    </xf>
    <xf numFmtId="0" fontId="4" fillId="14" borderId="37" xfId="0" applyFont="1" applyFill="1" applyBorder="1" applyAlignment="1">
      <alignment horizontal="left" vertical="center" wrapText="1"/>
    </xf>
    <xf numFmtId="49" fontId="4" fillId="14" borderId="3" xfId="0" applyNumberFormat="1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4" fillId="14" borderId="3" xfId="0" applyFont="1" applyFill="1" applyBorder="1" applyAlignment="1">
      <alignment horizontal="right" vertical="center"/>
    </xf>
    <xf numFmtId="49" fontId="18" fillId="14" borderId="6" xfId="0" applyNumberFormat="1" applyFont="1" applyFill="1" applyBorder="1" applyAlignment="1">
      <alignment horizontal="right" vertical="center"/>
    </xf>
    <xf numFmtId="49" fontId="4" fillId="14" borderId="6" xfId="0" applyNumberFormat="1" applyFont="1" applyFill="1" applyBorder="1" applyAlignment="1">
      <alignment horizontal="center" vertical="center" wrapText="1"/>
    </xf>
    <xf numFmtId="49" fontId="4" fillId="14" borderId="9" xfId="0" applyNumberFormat="1" applyFont="1" applyFill="1" applyBorder="1" applyAlignment="1">
      <alignment horizontal="left" vertical="center" wrapText="1"/>
    </xf>
    <xf numFmtId="49" fontId="4" fillId="6" borderId="52" xfId="0" applyNumberFormat="1" applyFont="1" applyFill="1" applyBorder="1" applyAlignment="1">
      <alignment horizontal="center" vertical="center"/>
    </xf>
    <xf numFmtId="0" fontId="6" fillId="6" borderId="53" xfId="0" applyFont="1" applyFill="1" applyBorder="1" applyAlignment="1">
      <alignment horizontal="center" vertical="center"/>
    </xf>
    <xf numFmtId="0" fontId="4" fillId="6" borderId="52" xfId="0" applyFont="1" applyFill="1" applyBorder="1" applyAlignment="1">
      <alignment horizontal="right" vertical="center"/>
    </xf>
    <xf numFmtId="49" fontId="18" fillId="6" borderId="54" xfId="0" applyNumberFormat="1" applyFont="1" applyFill="1" applyBorder="1" applyAlignment="1">
      <alignment horizontal="right" vertical="center"/>
    </xf>
    <xf numFmtId="49" fontId="4" fillId="6" borderId="54" xfId="0" applyNumberFormat="1" applyFont="1" applyFill="1" applyBorder="1" applyAlignment="1">
      <alignment horizontal="center" vertical="center" wrapText="1"/>
    </xf>
    <xf numFmtId="49" fontId="4" fillId="15" borderId="6" xfId="0" applyNumberFormat="1" applyFont="1" applyFill="1" applyBorder="1" applyAlignment="1">
      <alignment horizontal="center" vertical="center" wrapText="1"/>
    </xf>
    <xf numFmtId="49" fontId="4" fillId="15" borderId="9" xfId="0" applyNumberFormat="1" applyFont="1" applyFill="1" applyBorder="1" applyAlignment="1">
      <alignment horizontal="left" vertical="center" wrapText="1"/>
    </xf>
    <xf numFmtId="49" fontId="4" fillId="15" borderId="3" xfId="0" applyNumberFormat="1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horizontal="right" vertical="center"/>
    </xf>
    <xf numFmtId="0" fontId="6" fillId="6" borderId="39" xfId="0" applyFont="1" applyFill="1" applyBorder="1" applyAlignment="1">
      <alignment horizontal="center" vertical="center"/>
    </xf>
    <xf numFmtId="0" fontId="4" fillId="6" borderId="44" xfId="0" applyFont="1" applyFill="1" applyBorder="1" applyAlignment="1">
      <alignment horizontal="right" vertical="center"/>
    </xf>
    <xf numFmtId="49" fontId="18" fillId="6" borderId="46" xfId="0" applyNumberFormat="1" applyFont="1" applyFill="1" applyBorder="1" applyAlignment="1">
      <alignment horizontal="right" vertical="center" wrapText="1"/>
    </xf>
    <xf numFmtId="0" fontId="4" fillId="11" borderId="55" xfId="0" applyFont="1" applyFill="1" applyBorder="1" applyAlignment="1">
      <alignment horizontal="left" vertical="center" wrapText="1"/>
    </xf>
    <xf numFmtId="49" fontId="4" fillId="15" borderId="56" xfId="0" applyNumberFormat="1" applyFont="1" applyFill="1" applyBorder="1" applyAlignment="1">
      <alignment horizontal="center" vertical="center"/>
    </xf>
    <xf numFmtId="0" fontId="6" fillId="15" borderId="57" xfId="0" applyFont="1" applyFill="1" applyBorder="1" applyAlignment="1">
      <alignment horizontal="center" vertical="center"/>
    </xf>
    <xf numFmtId="0" fontId="4" fillId="15" borderId="56" xfId="0" applyFont="1" applyFill="1" applyBorder="1" applyAlignment="1">
      <alignment horizontal="right" vertical="center"/>
    </xf>
    <xf numFmtId="49" fontId="18" fillId="15" borderId="58" xfId="0" applyNumberFormat="1" applyFont="1" applyFill="1" applyBorder="1" applyAlignment="1">
      <alignment horizontal="right" vertical="center"/>
    </xf>
    <xf numFmtId="49" fontId="4" fillId="15" borderId="40" xfId="0" applyNumberFormat="1" applyFont="1" applyFill="1" applyBorder="1" applyAlignment="1">
      <alignment horizontal="center" vertical="center" wrapText="1"/>
    </xf>
    <xf numFmtId="49" fontId="4" fillId="15" borderId="59" xfId="0" applyNumberFormat="1" applyFont="1" applyFill="1" applyBorder="1" applyAlignment="1">
      <alignment horizontal="left" vertical="center" wrapText="1"/>
    </xf>
    <xf numFmtId="0" fontId="4" fillId="11" borderId="50" xfId="0" applyFont="1" applyFill="1" applyBorder="1" applyAlignment="1">
      <alignment horizontal="left" vertical="center" wrapText="1"/>
    </xf>
    <xf numFmtId="49" fontId="4" fillId="15" borderId="7" xfId="0" applyNumberFormat="1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4" fillId="15" borderId="7" xfId="0" applyFont="1" applyFill="1" applyBorder="1" applyAlignment="1">
      <alignment horizontal="right" vertical="center"/>
    </xf>
    <xf numFmtId="49" fontId="18" fillId="15" borderId="8" xfId="0" applyNumberFormat="1" applyFont="1" applyFill="1" applyBorder="1" applyAlignment="1">
      <alignment horizontal="right" vertical="center"/>
    </xf>
    <xf numFmtId="49" fontId="4" fillId="15" borderId="8" xfId="0" applyNumberFormat="1" applyFont="1" applyFill="1" applyBorder="1" applyAlignment="1">
      <alignment horizontal="center" vertical="center" wrapText="1"/>
    </xf>
    <xf numFmtId="49" fontId="4" fillId="15" borderId="14" xfId="0" applyNumberFormat="1" applyFont="1" applyFill="1" applyBorder="1" applyAlignment="1">
      <alignment horizontal="left" vertical="center" wrapText="1"/>
    </xf>
    <xf numFmtId="0" fontId="4" fillId="11" borderId="11" xfId="0" applyFont="1" applyFill="1" applyBorder="1" applyAlignment="1">
      <alignment horizontal="left" vertical="center" wrapText="1"/>
    </xf>
    <xf numFmtId="0" fontId="4" fillId="6" borderId="53" xfId="0" applyFont="1" applyFill="1" applyBorder="1" applyAlignment="1">
      <alignment horizontal="center" vertical="center"/>
    </xf>
    <xf numFmtId="49" fontId="27" fillId="6" borderId="54" xfId="0" applyNumberFormat="1" applyFont="1" applyFill="1" applyBorder="1" applyAlignment="1">
      <alignment horizontal="right" vertical="center"/>
    </xf>
    <xf numFmtId="0" fontId="4" fillId="6" borderId="60" xfId="0" applyFont="1" applyFill="1" applyBorder="1" applyAlignment="1">
      <alignment horizontal="center" vertical="center"/>
    </xf>
    <xf numFmtId="0" fontId="4" fillId="6" borderId="45" xfId="0" applyFont="1" applyFill="1" applyBorder="1" applyAlignment="1">
      <alignment horizontal="right" vertical="center"/>
    </xf>
    <xf numFmtId="49" fontId="27" fillId="6" borderId="32" xfId="0" applyNumberFormat="1" applyFont="1" applyFill="1" applyBorder="1" applyAlignment="1">
      <alignment horizontal="right" vertical="center"/>
    </xf>
    <xf numFmtId="49" fontId="4" fillId="6" borderId="35" xfId="0" applyNumberFormat="1" applyFont="1" applyFill="1" applyBorder="1" applyAlignment="1">
      <alignment horizontal="left" vertical="center"/>
    </xf>
    <xf numFmtId="0" fontId="4" fillId="11" borderId="51" xfId="0" applyFont="1" applyFill="1" applyBorder="1" applyAlignment="1">
      <alignment horizontal="left" vertical="center" wrapText="1"/>
    </xf>
    <xf numFmtId="0" fontId="4" fillId="6" borderId="52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left" vertical="center" wrapText="1"/>
    </xf>
    <xf numFmtId="0" fontId="4" fillId="15" borderId="4" xfId="0" applyFont="1" applyFill="1" applyBorder="1" applyAlignment="1">
      <alignment horizontal="center" vertical="center"/>
    </xf>
    <xf numFmtId="49" fontId="27" fillId="15" borderId="6" xfId="0" applyNumberFormat="1" applyFont="1" applyFill="1" applyBorder="1" applyAlignment="1">
      <alignment horizontal="right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right" vertical="center"/>
    </xf>
    <xf numFmtId="49" fontId="27" fillId="15" borderId="40" xfId="0" applyNumberFormat="1" applyFont="1" applyFill="1" applyBorder="1" applyAlignment="1">
      <alignment horizontal="right" vertical="center"/>
    </xf>
    <xf numFmtId="49" fontId="4" fillId="15" borderId="1" xfId="0" applyNumberFormat="1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49" fontId="27" fillId="15" borderId="8" xfId="0" applyNumberFormat="1" applyFont="1" applyFill="1" applyBorder="1" applyAlignment="1">
      <alignment horizontal="right" vertical="center"/>
    </xf>
    <xf numFmtId="0" fontId="4" fillId="6" borderId="39" xfId="0" applyFont="1" applyFill="1" applyBorder="1" applyAlignment="1">
      <alignment horizontal="center" vertical="center"/>
    </xf>
    <xf numFmtId="49" fontId="27" fillId="6" borderId="46" xfId="0" applyNumberFormat="1" applyFont="1" applyFill="1" applyBorder="1" applyAlignment="1">
      <alignment horizontal="right" vertical="center"/>
    </xf>
    <xf numFmtId="0" fontId="5" fillId="6" borderId="4" xfId="0" applyFont="1" applyFill="1" applyBorder="1" applyAlignment="1">
      <alignment horizontal="right" vertical="center"/>
    </xf>
    <xf numFmtId="49" fontId="30" fillId="0" borderId="19" xfId="6" applyNumberFormat="1" applyFont="1" applyFill="1" applyBorder="1" applyAlignment="1">
      <alignment wrapText="1"/>
    </xf>
    <xf numFmtId="14" fontId="7" fillId="0" borderId="28" xfId="0" applyNumberFormat="1" applyFont="1" applyFill="1" applyBorder="1" applyAlignment="1">
      <alignment horizontal="center"/>
    </xf>
    <xf numFmtId="14" fontId="7" fillId="0" borderId="29" xfId="0" applyNumberFormat="1" applyFont="1" applyFill="1" applyBorder="1" applyAlignment="1">
      <alignment horizontal="center"/>
    </xf>
    <xf numFmtId="14" fontId="7" fillId="0" borderId="30" xfId="0" applyNumberFormat="1" applyFont="1" applyFill="1" applyBorder="1" applyAlignment="1">
      <alignment horizontal="center"/>
    </xf>
    <xf numFmtId="0" fontId="5" fillId="3" borderId="16" xfId="0" applyFont="1" applyFill="1" applyBorder="1" applyAlignment="1">
      <alignment horizontal="left"/>
    </xf>
    <xf numFmtId="0" fontId="5" fillId="3" borderId="18" xfId="0" applyFont="1" applyFill="1" applyBorder="1" applyAlignment="1">
      <alignment horizontal="left"/>
    </xf>
    <xf numFmtId="14" fontId="0" fillId="3" borderId="16" xfId="0" applyNumberFormat="1" applyFill="1" applyBorder="1" applyAlignment="1">
      <alignment horizontal="left"/>
    </xf>
    <xf numFmtId="14" fontId="0" fillId="3" borderId="18" xfId="0" applyNumberFormat="1" applyFill="1" applyBorder="1" applyAlignment="1">
      <alignment horizontal="left"/>
    </xf>
    <xf numFmtId="0" fontId="4" fillId="3" borderId="16" xfId="0" applyFont="1" applyFill="1" applyBorder="1" applyAlignment="1">
      <alignment horizontal="left" vertical="top" wrapText="1"/>
    </xf>
    <xf numFmtId="0" fontId="0" fillId="3" borderId="17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5" fillId="3" borderId="17" xfId="0" applyFont="1" applyFill="1" applyBorder="1" applyAlignment="1">
      <alignment horizontal="left"/>
    </xf>
    <xf numFmtId="0" fontId="4" fillId="3" borderId="16" xfId="0" applyFont="1" applyFill="1" applyBorder="1" applyAlignment="1">
      <alignment horizontal="left"/>
    </xf>
    <xf numFmtId="0" fontId="4" fillId="3" borderId="17" xfId="0" applyFont="1" applyFill="1" applyBorder="1" applyAlignment="1">
      <alignment horizontal="left"/>
    </xf>
    <xf numFmtId="0" fontId="4" fillId="3" borderId="18" xfId="0" applyFont="1" applyFill="1" applyBorder="1" applyAlignment="1">
      <alignment horizontal="left"/>
    </xf>
    <xf numFmtId="0" fontId="4" fillId="3" borderId="16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7" borderId="0" xfId="0" applyFont="1" applyFill="1" applyBorder="1" applyAlignment="1">
      <alignment horizontal="left" vertical="top" wrapText="1"/>
    </xf>
    <xf numFmtId="0" fontId="4" fillId="7" borderId="0" xfId="0" applyFont="1" applyFill="1" applyBorder="1" applyAlignment="1">
      <alignment horizontal="left" vertical="center" wrapText="1"/>
    </xf>
    <xf numFmtId="0" fontId="4" fillId="7" borderId="26" xfId="0" applyFont="1" applyFill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4" fillId="7" borderId="23" xfId="0" applyFont="1" applyFill="1" applyBorder="1" applyAlignment="1">
      <alignment horizontal="left" vertical="center" wrapText="1"/>
    </xf>
    <xf numFmtId="0" fontId="7" fillId="3" borderId="16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0" fontId="4" fillId="3" borderId="16" xfId="0" applyFont="1" applyFill="1" applyBorder="1" applyAlignment="1"/>
    <xf numFmtId="0" fontId="0" fillId="3" borderId="18" xfId="0" applyFill="1" applyBorder="1" applyAlignment="1"/>
    <xf numFmtId="0" fontId="4" fillId="3" borderId="16" xfId="0" applyFont="1" applyFill="1" applyBorder="1" applyAlignment="1">
      <alignment horizontal="left" wrapText="1"/>
    </xf>
    <xf numFmtId="0" fontId="0" fillId="3" borderId="17" xfId="0" applyFill="1" applyBorder="1" applyAlignment="1">
      <alignment horizontal="left" wrapText="1"/>
    </xf>
    <xf numFmtId="0" fontId="0" fillId="3" borderId="18" xfId="0" applyFill="1" applyBorder="1" applyAlignment="1">
      <alignment horizontal="left" wrapText="1"/>
    </xf>
    <xf numFmtId="0" fontId="4" fillId="3" borderId="16" xfId="0" applyFont="1" applyFill="1" applyBorder="1" applyAlignment="1">
      <alignment wrapText="1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>
      <alignment wrapText="1"/>
    </xf>
    <xf numFmtId="0" fontId="0" fillId="3" borderId="17" xfId="0" applyFill="1" applyBorder="1" applyAlignment="1"/>
    <xf numFmtId="0" fontId="4" fillId="4" borderId="21" xfId="0" applyFont="1" applyFill="1" applyBorder="1" applyAlignment="1">
      <alignment horizontal="left"/>
    </xf>
    <xf numFmtId="0" fontId="4" fillId="0" borderId="0" xfId="0" applyFont="1" applyAlignment="1">
      <alignment horizontal="left" wrapText="1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29" fillId="0" borderId="19" xfId="6" applyFont="1" applyFill="1" applyBorder="1" applyAlignment="1">
      <alignment horizontal="center" vertical="center" wrapText="1"/>
    </xf>
    <xf numFmtId="0" fontId="30" fillId="0" borderId="19" xfId="6" applyFont="1" applyBorder="1" applyAlignment="1">
      <alignment horizontal="center"/>
    </xf>
    <xf numFmtId="0" fontId="29" fillId="12" borderId="19" xfId="6" applyFont="1" applyFill="1" applyBorder="1" applyAlignment="1">
      <alignment horizontal="left"/>
    </xf>
    <xf numFmtId="0" fontId="29" fillId="12" borderId="19" xfId="6" applyFont="1" applyFill="1" applyBorder="1" applyAlignment="1">
      <alignment horizontal="center" vertical="center" wrapText="1"/>
    </xf>
    <xf numFmtId="0" fontId="30" fillId="0" borderId="19" xfId="6" applyFont="1" applyBorder="1" applyAlignment="1">
      <alignment horizontal="left" vertical="top" wrapText="1"/>
    </xf>
    <xf numFmtId="0" fontId="31" fillId="0" borderId="19" xfId="6" applyFont="1" applyBorder="1" applyAlignment="1">
      <alignment horizontal="left" vertical="top" wrapText="1"/>
    </xf>
    <xf numFmtId="0" fontId="32" fillId="0" borderId="19" xfId="6" applyFont="1" applyBorder="1" applyAlignment="1">
      <alignment horizontal="right" vertical="center" wrapText="1" readingOrder="1"/>
    </xf>
    <xf numFmtId="0" fontId="39" fillId="0" borderId="19" xfId="6" applyFont="1" applyFill="1" applyBorder="1" applyAlignment="1">
      <alignment wrapText="1"/>
    </xf>
    <xf numFmtId="0" fontId="40" fillId="0" borderId="19" xfId="6" applyFont="1" applyBorder="1" applyAlignment="1">
      <alignment vertical="top" wrapText="1"/>
    </xf>
    <xf numFmtId="14" fontId="39" fillId="0" borderId="19" xfId="6" applyNumberFormat="1" applyFont="1" applyFill="1" applyBorder="1" applyAlignment="1">
      <alignment wrapText="1"/>
    </xf>
    <xf numFmtId="0" fontId="38" fillId="0" borderId="0" xfId="6" applyFont="1" applyFill="1" applyBorder="1"/>
    <xf numFmtId="0" fontId="38" fillId="0" borderId="0" xfId="6" applyFont="1" applyFill="1"/>
  </cellXfs>
  <cellStyles count="7">
    <cellStyle name="Normal 2" xfId="4"/>
    <cellStyle name="Standard" xfId="0" builtinId="0"/>
    <cellStyle name="Standard 2" xfId="1"/>
    <cellStyle name="Standard 2 2" xfId="3"/>
    <cellStyle name="Standard 2 2 2" xfId="6"/>
    <cellStyle name="Standard 3" xfId="2"/>
    <cellStyle name="Standard 4" xfId="5"/>
  </cellStyles>
  <dxfs count="0"/>
  <tableStyles count="0" defaultTableStyle="TableStyleMedium9" defaultPivotStyle="PivotStyleLight16"/>
  <colors>
    <mruColors>
      <color rgb="FFA8CAF4"/>
      <color rgb="FFFFCC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53</xdr:row>
      <xdr:rowOff>171450</xdr:rowOff>
    </xdr:from>
    <xdr:to>
      <xdr:col>2</xdr:col>
      <xdr:colOff>66675</xdr:colOff>
      <xdr:row>54</xdr:row>
      <xdr:rowOff>171450</xdr:rowOff>
    </xdr:to>
    <xdr:sp macro="" textlink="">
      <xdr:nvSpPr>
        <xdr:cNvPr id="90" name="Rechteck 89"/>
        <xdr:cNvSpPr/>
      </xdr:nvSpPr>
      <xdr:spPr>
        <a:xfrm>
          <a:off x="514350" y="10801350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3</xdr:col>
      <xdr:colOff>466725</xdr:colOff>
      <xdr:row>53</xdr:row>
      <xdr:rowOff>161925</xdr:rowOff>
    </xdr:from>
    <xdr:to>
      <xdr:col>5</xdr:col>
      <xdr:colOff>304800</xdr:colOff>
      <xdr:row>54</xdr:row>
      <xdr:rowOff>161925</xdr:rowOff>
    </xdr:to>
    <xdr:sp macro="" textlink="">
      <xdr:nvSpPr>
        <xdr:cNvPr id="91" name="Rechteck 90"/>
        <xdr:cNvSpPr/>
      </xdr:nvSpPr>
      <xdr:spPr>
        <a:xfrm>
          <a:off x="2257425" y="10791825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2</xdr:col>
      <xdr:colOff>236764</xdr:colOff>
      <xdr:row>53</xdr:row>
      <xdr:rowOff>7685</xdr:rowOff>
    </xdr:from>
    <xdr:to>
      <xdr:col>3</xdr:col>
      <xdr:colOff>265339</xdr:colOff>
      <xdr:row>54</xdr:row>
      <xdr:rowOff>3762</xdr:rowOff>
    </xdr:to>
    <xdr:sp macro="" textlink="">
      <xdr:nvSpPr>
        <xdr:cNvPr id="92" name="Rechteck 91"/>
        <xdr:cNvSpPr/>
      </xdr:nvSpPr>
      <xdr:spPr>
        <a:xfrm>
          <a:off x="1267705" y="9510273"/>
          <a:ext cx="790575" cy="24260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ID_PUSH1</a:t>
          </a:r>
        </a:p>
      </xdr:txBody>
    </xdr:sp>
    <xdr:clientData/>
  </xdr:twoCellAnchor>
  <xdr:twoCellAnchor>
    <xdr:from>
      <xdr:col>2</xdr:col>
      <xdr:colOff>104775</xdr:colOff>
      <xdr:row>54</xdr:row>
      <xdr:rowOff>54850</xdr:rowOff>
    </xdr:from>
    <xdr:to>
      <xdr:col>3</xdr:col>
      <xdr:colOff>428625</xdr:colOff>
      <xdr:row>54</xdr:row>
      <xdr:rowOff>54850</xdr:rowOff>
    </xdr:to>
    <xdr:cxnSp macro="">
      <xdr:nvCxnSpPr>
        <xdr:cNvPr id="96" name="Gerade Verbindung mit Pfeil 95"/>
        <xdr:cNvCxnSpPr/>
      </xdr:nvCxnSpPr>
      <xdr:spPr>
        <a:xfrm flipH="1">
          <a:off x="1135716" y="9803968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56028</xdr:colOff>
      <xdr:row>1</xdr:row>
      <xdr:rowOff>33616</xdr:rowOff>
    </xdr:from>
    <xdr:to>
      <xdr:col>1</xdr:col>
      <xdr:colOff>480295</xdr:colOff>
      <xdr:row>1</xdr:row>
      <xdr:rowOff>510591</xdr:rowOff>
    </xdr:to>
    <xdr:pic>
      <xdr:nvPicPr>
        <xdr:cNvPr id="23" name="Picture 1" descr="bm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4969" y="145675"/>
          <a:ext cx="424267" cy="47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50</xdr:row>
          <xdr:rowOff>104775</xdr:rowOff>
        </xdr:from>
        <xdr:to>
          <xdr:col>3</xdr:col>
          <xdr:colOff>504825</xdr:colOff>
          <xdr:row>52</xdr:row>
          <xdr:rowOff>76200</xdr:rowOff>
        </xdr:to>
        <xdr:sp macro="" textlink="">
          <xdr:nvSpPr>
            <xdr:cNvPr id="11273" name="ID_PUSH1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695325</xdr:colOff>
          <xdr:row>61</xdr:row>
          <xdr:rowOff>123825</xdr:rowOff>
        </xdr:from>
        <xdr:to>
          <xdr:col>3</xdr:col>
          <xdr:colOff>552450</xdr:colOff>
          <xdr:row>62</xdr:row>
          <xdr:rowOff>123825</xdr:rowOff>
        </xdr:to>
        <xdr:sp macro="" textlink="">
          <xdr:nvSpPr>
            <xdr:cNvPr id="11274" name="WASIDENT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24</xdr:row>
          <xdr:rowOff>123825</xdr:rowOff>
        </xdr:from>
        <xdr:to>
          <xdr:col>6</xdr:col>
          <xdr:colOff>609600</xdr:colOff>
          <xdr:row>26</xdr:row>
          <xdr:rowOff>66675</xdr:rowOff>
        </xdr:to>
        <xdr:sp macro="" textlink="">
          <xdr:nvSpPr>
            <xdr:cNvPr id="11279" name="CP_Communication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264546</xdr:colOff>
      <xdr:row>63</xdr:row>
      <xdr:rowOff>35514</xdr:rowOff>
    </xdr:from>
    <xdr:to>
      <xdr:col>2</xdr:col>
      <xdr:colOff>83571</xdr:colOff>
      <xdr:row>64</xdr:row>
      <xdr:rowOff>35513</xdr:rowOff>
    </xdr:to>
    <xdr:sp macro="" textlink="">
      <xdr:nvSpPr>
        <xdr:cNvPr id="22" name="Rechteck 21"/>
        <xdr:cNvSpPr/>
      </xdr:nvSpPr>
      <xdr:spPr>
        <a:xfrm>
          <a:off x="531246" y="14065839"/>
          <a:ext cx="581025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3</xdr:col>
      <xdr:colOff>483621</xdr:colOff>
      <xdr:row>63</xdr:row>
      <xdr:rowOff>6939</xdr:rowOff>
    </xdr:from>
    <xdr:to>
      <xdr:col>5</xdr:col>
      <xdr:colOff>321696</xdr:colOff>
      <xdr:row>64</xdr:row>
      <xdr:rowOff>6938</xdr:rowOff>
    </xdr:to>
    <xdr:sp macro="" textlink="">
      <xdr:nvSpPr>
        <xdr:cNvPr id="24" name="Rechteck 23"/>
        <xdr:cNvSpPr/>
      </xdr:nvSpPr>
      <xdr:spPr>
        <a:xfrm>
          <a:off x="2274321" y="14037264"/>
          <a:ext cx="590550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Facility</a:t>
          </a:r>
          <a:endParaRPr lang="de-DE"/>
        </a:p>
      </xdr:txBody>
    </xdr:sp>
    <xdr:clientData/>
  </xdr:twoCellAnchor>
  <xdr:twoCellAnchor>
    <xdr:from>
      <xdr:col>2</xdr:col>
      <xdr:colOff>206035</xdr:colOff>
      <xdr:row>62</xdr:row>
      <xdr:rowOff>163274</xdr:rowOff>
    </xdr:from>
    <xdr:to>
      <xdr:col>3</xdr:col>
      <xdr:colOff>234610</xdr:colOff>
      <xdr:row>63</xdr:row>
      <xdr:rowOff>161075</xdr:rowOff>
    </xdr:to>
    <xdr:sp macro="" textlink="">
      <xdr:nvSpPr>
        <xdr:cNvPr id="25" name="Rechteck 24"/>
        <xdr:cNvSpPr/>
      </xdr:nvSpPr>
      <xdr:spPr>
        <a:xfrm>
          <a:off x="1234735" y="13945949"/>
          <a:ext cx="790575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WASIDENT</a:t>
          </a:r>
        </a:p>
      </xdr:txBody>
    </xdr:sp>
    <xdr:clientData/>
  </xdr:twoCellAnchor>
  <xdr:twoCellAnchor>
    <xdr:from>
      <xdr:col>2</xdr:col>
      <xdr:colOff>93096</xdr:colOff>
      <xdr:row>58</xdr:row>
      <xdr:rowOff>263494</xdr:rowOff>
    </xdr:from>
    <xdr:to>
      <xdr:col>3</xdr:col>
      <xdr:colOff>416946</xdr:colOff>
      <xdr:row>58</xdr:row>
      <xdr:rowOff>263494</xdr:rowOff>
    </xdr:to>
    <xdr:cxnSp macro="">
      <xdr:nvCxnSpPr>
        <xdr:cNvPr id="26" name="Gerade Verbindung mit Pfeil 25"/>
        <xdr:cNvCxnSpPr/>
      </xdr:nvCxnSpPr>
      <xdr:spPr>
        <a:xfrm>
          <a:off x="1121796" y="12750769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255581</xdr:colOff>
      <xdr:row>58</xdr:row>
      <xdr:rowOff>164381</xdr:rowOff>
    </xdr:from>
    <xdr:to>
      <xdr:col>2</xdr:col>
      <xdr:colOff>74606</xdr:colOff>
      <xdr:row>59</xdr:row>
      <xdr:rowOff>107230</xdr:rowOff>
    </xdr:to>
    <xdr:sp macro="" textlink="">
      <xdr:nvSpPr>
        <xdr:cNvPr id="27" name="Rechteck 26"/>
        <xdr:cNvSpPr/>
      </xdr:nvSpPr>
      <xdr:spPr>
        <a:xfrm>
          <a:off x="522281" y="12651656"/>
          <a:ext cx="581025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3</xdr:col>
      <xdr:colOff>479699</xdr:colOff>
      <xdr:row>58</xdr:row>
      <xdr:rowOff>135806</xdr:rowOff>
    </xdr:from>
    <xdr:to>
      <xdr:col>5</xdr:col>
      <xdr:colOff>316093</xdr:colOff>
      <xdr:row>59</xdr:row>
      <xdr:rowOff>78655</xdr:rowOff>
    </xdr:to>
    <xdr:sp macro="" textlink="">
      <xdr:nvSpPr>
        <xdr:cNvPr id="28" name="Rechteck 27"/>
        <xdr:cNvSpPr/>
      </xdr:nvSpPr>
      <xdr:spPr>
        <a:xfrm>
          <a:off x="2270399" y="12623081"/>
          <a:ext cx="588869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Facility</a:t>
          </a:r>
          <a:endParaRPr lang="de-DE"/>
        </a:p>
      </xdr:txBody>
    </xdr:sp>
    <xdr:clientData/>
  </xdr:twoCellAnchor>
  <xdr:twoCellAnchor>
    <xdr:from>
      <xdr:col>2</xdr:col>
      <xdr:colOff>225645</xdr:colOff>
      <xdr:row>57</xdr:row>
      <xdr:rowOff>177841</xdr:rowOff>
    </xdr:from>
    <xdr:to>
      <xdr:col>3</xdr:col>
      <xdr:colOff>259263</xdr:colOff>
      <xdr:row>58</xdr:row>
      <xdr:rowOff>223267</xdr:rowOff>
    </xdr:to>
    <xdr:sp macro="" textlink="">
      <xdr:nvSpPr>
        <xdr:cNvPr id="29" name="Rechteck 28"/>
        <xdr:cNvSpPr/>
      </xdr:nvSpPr>
      <xdr:spPr>
        <a:xfrm>
          <a:off x="1254345" y="12712741"/>
          <a:ext cx="795618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ID_REQU1</a:t>
          </a:r>
        </a:p>
      </xdr:txBody>
    </xdr:sp>
    <xdr:clientData/>
  </xdr:twoCellAnchor>
  <xdr:twoCellAnchor>
    <xdr:from>
      <xdr:col>2</xdr:col>
      <xdr:colOff>103181</xdr:colOff>
      <xdr:row>63</xdr:row>
      <xdr:rowOff>230436</xdr:rowOff>
    </xdr:from>
    <xdr:to>
      <xdr:col>3</xdr:col>
      <xdr:colOff>432074</xdr:colOff>
      <xdr:row>63</xdr:row>
      <xdr:rowOff>230436</xdr:rowOff>
    </xdr:to>
    <xdr:cxnSp macro="">
      <xdr:nvCxnSpPr>
        <xdr:cNvPr id="30" name="Gerade Verbindung mit Pfeil 29"/>
        <xdr:cNvCxnSpPr/>
      </xdr:nvCxnSpPr>
      <xdr:spPr>
        <a:xfrm>
          <a:off x="1131881" y="14260761"/>
          <a:ext cx="1090893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213319</xdr:colOff>
      <xdr:row>59</xdr:row>
      <xdr:rowOff>105002</xdr:rowOff>
    </xdr:from>
    <xdr:to>
      <xdr:col>3</xdr:col>
      <xdr:colOff>246937</xdr:colOff>
      <xdr:row>60</xdr:row>
      <xdr:rowOff>125506</xdr:rowOff>
    </xdr:to>
    <xdr:sp macro="" textlink="">
      <xdr:nvSpPr>
        <xdr:cNvPr id="31" name="Rechteck 30"/>
        <xdr:cNvSpPr/>
      </xdr:nvSpPr>
      <xdr:spPr>
        <a:xfrm>
          <a:off x="1242019" y="12868502"/>
          <a:ext cx="795618" cy="268154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WAS_DATA</a:t>
          </a:r>
        </a:p>
      </xdr:txBody>
    </xdr:sp>
    <xdr:clientData/>
  </xdr:twoCellAnchor>
  <xdr:twoCellAnchor>
    <xdr:from>
      <xdr:col>2</xdr:col>
      <xdr:colOff>146889</xdr:colOff>
      <xdr:row>64</xdr:row>
      <xdr:rowOff>67714</xdr:rowOff>
    </xdr:from>
    <xdr:to>
      <xdr:col>3</xdr:col>
      <xdr:colOff>478798</xdr:colOff>
      <xdr:row>64</xdr:row>
      <xdr:rowOff>67714</xdr:rowOff>
    </xdr:to>
    <xdr:cxnSp macro="">
      <xdr:nvCxnSpPr>
        <xdr:cNvPr id="33" name="Gerade Verbindung mit Pfeil 32"/>
        <xdr:cNvCxnSpPr/>
      </xdr:nvCxnSpPr>
      <xdr:spPr>
        <a:xfrm flipH="1">
          <a:off x="1175589" y="14069464"/>
          <a:ext cx="1093909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56</xdr:row>
          <xdr:rowOff>142875</xdr:rowOff>
        </xdr:from>
        <xdr:to>
          <xdr:col>3</xdr:col>
          <xdr:colOff>542925</xdr:colOff>
          <xdr:row>57</xdr:row>
          <xdr:rowOff>142875</xdr:rowOff>
        </xdr:to>
        <xdr:sp macro="" textlink="">
          <xdr:nvSpPr>
            <xdr:cNvPr id="11281" name="ID_REQU2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50</xdr:row>
          <xdr:rowOff>85725</xdr:rowOff>
        </xdr:from>
        <xdr:to>
          <xdr:col>10</xdr:col>
          <xdr:colOff>447675</xdr:colOff>
          <xdr:row>52</xdr:row>
          <xdr:rowOff>76200</xdr:rowOff>
        </xdr:to>
        <xdr:sp macro="" textlink="">
          <xdr:nvSpPr>
            <xdr:cNvPr id="11282" name="PING_PLC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226766</xdr:colOff>
      <xdr:row>64</xdr:row>
      <xdr:rowOff>123492</xdr:rowOff>
    </xdr:from>
    <xdr:to>
      <xdr:col>3</xdr:col>
      <xdr:colOff>255341</xdr:colOff>
      <xdr:row>64</xdr:row>
      <xdr:rowOff>368943</xdr:rowOff>
    </xdr:to>
    <xdr:sp macro="" textlink="">
      <xdr:nvSpPr>
        <xdr:cNvPr id="39" name="Rechteck 38"/>
        <xdr:cNvSpPr/>
      </xdr:nvSpPr>
      <xdr:spPr>
        <a:xfrm>
          <a:off x="1255466" y="14125242"/>
          <a:ext cx="790575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WAS_R_ID</a:t>
          </a:r>
        </a:p>
      </xdr:txBody>
    </xdr:sp>
    <xdr:clientData/>
  </xdr:twoCellAnchor>
  <xdr:twoCellAnchor>
    <xdr:from>
      <xdr:col>2</xdr:col>
      <xdr:colOff>115508</xdr:colOff>
      <xdr:row>59</xdr:row>
      <xdr:rowOff>61227</xdr:rowOff>
    </xdr:from>
    <xdr:to>
      <xdr:col>3</xdr:col>
      <xdr:colOff>439358</xdr:colOff>
      <xdr:row>59</xdr:row>
      <xdr:rowOff>61227</xdr:rowOff>
    </xdr:to>
    <xdr:cxnSp macro="">
      <xdr:nvCxnSpPr>
        <xdr:cNvPr id="40" name="Gerade Verbindung mit Pfeil 39"/>
        <xdr:cNvCxnSpPr/>
      </xdr:nvCxnSpPr>
      <xdr:spPr>
        <a:xfrm>
          <a:off x="1144208" y="12824727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253253</xdr:colOff>
      <xdr:row>67</xdr:row>
      <xdr:rowOff>52094</xdr:rowOff>
    </xdr:from>
    <xdr:to>
      <xdr:col>2</xdr:col>
      <xdr:colOff>72278</xdr:colOff>
      <xdr:row>68</xdr:row>
      <xdr:rowOff>52094</xdr:rowOff>
    </xdr:to>
    <xdr:sp macro="" textlink="">
      <xdr:nvSpPr>
        <xdr:cNvPr id="41" name="Rechteck 40"/>
        <xdr:cNvSpPr/>
      </xdr:nvSpPr>
      <xdr:spPr>
        <a:xfrm>
          <a:off x="519953" y="15377819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3</xdr:col>
      <xdr:colOff>477371</xdr:colOff>
      <xdr:row>67</xdr:row>
      <xdr:rowOff>42569</xdr:rowOff>
    </xdr:from>
    <xdr:to>
      <xdr:col>5</xdr:col>
      <xdr:colOff>313765</xdr:colOff>
      <xdr:row>68</xdr:row>
      <xdr:rowOff>42569</xdr:rowOff>
    </xdr:to>
    <xdr:sp macro="" textlink="">
      <xdr:nvSpPr>
        <xdr:cNvPr id="42" name="Rechteck 41"/>
        <xdr:cNvSpPr/>
      </xdr:nvSpPr>
      <xdr:spPr>
        <a:xfrm>
          <a:off x="2268071" y="15368294"/>
          <a:ext cx="588869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Facility</a:t>
          </a:r>
          <a:endParaRPr lang="de-DE"/>
        </a:p>
      </xdr:txBody>
    </xdr:sp>
    <xdr:clientData/>
  </xdr:twoCellAnchor>
  <xdr:twoCellAnchor>
    <xdr:from>
      <xdr:col>2</xdr:col>
      <xdr:colOff>242366</xdr:colOff>
      <xdr:row>66</xdr:row>
      <xdr:rowOff>142875</xdr:rowOff>
    </xdr:from>
    <xdr:to>
      <xdr:col>3</xdr:col>
      <xdr:colOff>323849</xdr:colOff>
      <xdr:row>67</xdr:row>
      <xdr:rowOff>139555</xdr:rowOff>
    </xdr:to>
    <xdr:sp macro="" textlink="">
      <xdr:nvSpPr>
        <xdr:cNvPr id="43" name="Rechteck 42"/>
        <xdr:cNvSpPr/>
      </xdr:nvSpPr>
      <xdr:spPr>
        <a:xfrm>
          <a:off x="1271066" y="15220950"/>
          <a:ext cx="843483" cy="24433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WAS_MOVE</a:t>
          </a:r>
        </a:p>
      </xdr:txBody>
    </xdr:sp>
    <xdr:clientData/>
  </xdr:twoCellAnchor>
  <xdr:twoCellAnchor>
    <xdr:from>
      <xdr:col>2</xdr:col>
      <xdr:colOff>81803</xdr:colOff>
      <xdr:row>68</xdr:row>
      <xdr:rowOff>61000</xdr:rowOff>
    </xdr:from>
    <xdr:to>
      <xdr:col>3</xdr:col>
      <xdr:colOff>410696</xdr:colOff>
      <xdr:row>68</xdr:row>
      <xdr:rowOff>61000</xdr:rowOff>
    </xdr:to>
    <xdr:cxnSp macro="">
      <xdr:nvCxnSpPr>
        <xdr:cNvPr id="44" name="Gerade Verbindung mit Pfeil 43"/>
        <xdr:cNvCxnSpPr/>
      </xdr:nvCxnSpPr>
      <xdr:spPr>
        <a:xfrm>
          <a:off x="1110503" y="15358150"/>
          <a:ext cx="1090893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65</xdr:row>
          <xdr:rowOff>209550</xdr:rowOff>
        </xdr:from>
        <xdr:to>
          <xdr:col>4</xdr:col>
          <xdr:colOff>0</xdr:colOff>
          <xdr:row>66</xdr:row>
          <xdr:rowOff>95250</xdr:rowOff>
        </xdr:to>
        <xdr:sp macro="" textlink="">
          <xdr:nvSpPr>
            <xdr:cNvPr id="11283" name="WAS_MOVE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248057</xdr:colOff>
      <xdr:row>68</xdr:row>
      <xdr:rowOff>126854</xdr:rowOff>
    </xdr:from>
    <xdr:to>
      <xdr:col>3</xdr:col>
      <xdr:colOff>304800</xdr:colOff>
      <xdr:row>69</xdr:row>
      <xdr:rowOff>142875</xdr:rowOff>
    </xdr:to>
    <xdr:sp macro="" textlink="">
      <xdr:nvSpPr>
        <xdr:cNvPr id="46" name="Rechteck 45"/>
        <xdr:cNvSpPr/>
      </xdr:nvSpPr>
      <xdr:spPr>
        <a:xfrm>
          <a:off x="1276757" y="15700229"/>
          <a:ext cx="818743" cy="26367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WAS_MO_R</a:t>
          </a:r>
        </a:p>
      </xdr:txBody>
    </xdr:sp>
    <xdr:clientData/>
  </xdr:twoCellAnchor>
  <xdr:twoCellAnchor>
    <xdr:from>
      <xdr:col>2</xdr:col>
      <xdr:colOff>127274</xdr:colOff>
      <xdr:row>67</xdr:row>
      <xdr:rowOff>207464</xdr:rowOff>
    </xdr:from>
    <xdr:to>
      <xdr:col>3</xdr:col>
      <xdr:colOff>451124</xdr:colOff>
      <xdr:row>67</xdr:row>
      <xdr:rowOff>207464</xdr:rowOff>
    </xdr:to>
    <xdr:cxnSp macro="">
      <xdr:nvCxnSpPr>
        <xdr:cNvPr id="47" name="Gerade Verbindung mit Pfeil 46"/>
        <xdr:cNvCxnSpPr/>
      </xdr:nvCxnSpPr>
      <xdr:spPr>
        <a:xfrm>
          <a:off x="1155974" y="15256964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56</xdr:row>
          <xdr:rowOff>123825</xdr:rowOff>
        </xdr:from>
        <xdr:to>
          <xdr:col>10</xdr:col>
          <xdr:colOff>476250</xdr:colOff>
          <xdr:row>57</xdr:row>
          <xdr:rowOff>161925</xdr:rowOff>
        </xdr:to>
        <xdr:sp macro="" textlink="">
          <xdr:nvSpPr>
            <xdr:cNvPr id="11296" name="PING_WAS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102621</xdr:colOff>
      <xdr:row>54</xdr:row>
      <xdr:rowOff>107159</xdr:rowOff>
    </xdr:from>
    <xdr:to>
      <xdr:col>10</xdr:col>
      <xdr:colOff>264546</xdr:colOff>
      <xdr:row>54</xdr:row>
      <xdr:rowOff>107159</xdr:rowOff>
    </xdr:to>
    <xdr:cxnSp macro="">
      <xdr:nvCxnSpPr>
        <xdr:cNvPr id="128" name="Gerade Verbindung mit Pfeil 127"/>
        <xdr:cNvCxnSpPr/>
      </xdr:nvCxnSpPr>
      <xdr:spPr>
        <a:xfrm>
          <a:off x="5150871" y="12146759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265106</xdr:colOff>
      <xdr:row>53</xdr:row>
      <xdr:rowOff>131871</xdr:rowOff>
    </xdr:from>
    <xdr:to>
      <xdr:col>8</xdr:col>
      <xdr:colOff>84131</xdr:colOff>
      <xdr:row>54</xdr:row>
      <xdr:rowOff>131870</xdr:rowOff>
    </xdr:to>
    <xdr:sp macro="" textlink="">
      <xdr:nvSpPr>
        <xdr:cNvPr id="129" name="Rechteck 128"/>
        <xdr:cNvSpPr/>
      </xdr:nvSpPr>
      <xdr:spPr>
        <a:xfrm>
          <a:off x="4551356" y="11923821"/>
          <a:ext cx="581025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10</xdr:col>
      <xdr:colOff>327299</xdr:colOff>
      <xdr:row>53</xdr:row>
      <xdr:rowOff>103296</xdr:rowOff>
    </xdr:from>
    <xdr:to>
      <xdr:col>11</xdr:col>
      <xdr:colOff>154168</xdr:colOff>
      <xdr:row>54</xdr:row>
      <xdr:rowOff>103295</xdr:rowOff>
    </xdr:to>
    <xdr:sp macro="" textlink="">
      <xdr:nvSpPr>
        <xdr:cNvPr id="130" name="Rechteck 129"/>
        <xdr:cNvSpPr/>
      </xdr:nvSpPr>
      <xdr:spPr>
        <a:xfrm>
          <a:off x="6299474" y="11895246"/>
          <a:ext cx="588869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Facility</a:t>
          </a:r>
          <a:endParaRPr lang="de-DE"/>
        </a:p>
      </xdr:txBody>
    </xdr:sp>
    <xdr:clientData/>
  </xdr:twoCellAnchor>
  <xdr:twoCellAnchor>
    <xdr:from>
      <xdr:col>9</xdr:col>
      <xdr:colOff>73245</xdr:colOff>
      <xdr:row>52</xdr:row>
      <xdr:rowOff>107231</xdr:rowOff>
    </xdr:from>
    <xdr:to>
      <xdr:col>10</xdr:col>
      <xdr:colOff>106863</xdr:colOff>
      <xdr:row>53</xdr:row>
      <xdr:rowOff>190757</xdr:rowOff>
    </xdr:to>
    <xdr:sp macro="" textlink="">
      <xdr:nvSpPr>
        <xdr:cNvPr id="131" name="Rechteck 130"/>
        <xdr:cNvSpPr/>
      </xdr:nvSpPr>
      <xdr:spPr>
        <a:xfrm>
          <a:off x="5283420" y="11737256"/>
          <a:ext cx="795618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PING_PLC</a:t>
          </a:r>
        </a:p>
      </xdr:txBody>
    </xdr:sp>
    <xdr:clientData/>
  </xdr:twoCellAnchor>
  <xdr:twoCellAnchor>
    <xdr:from>
      <xdr:col>8</xdr:col>
      <xdr:colOff>125033</xdr:colOff>
      <xdr:row>54</xdr:row>
      <xdr:rowOff>142</xdr:rowOff>
    </xdr:from>
    <xdr:to>
      <xdr:col>10</xdr:col>
      <xdr:colOff>286958</xdr:colOff>
      <xdr:row>54</xdr:row>
      <xdr:rowOff>142</xdr:rowOff>
    </xdr:to>
    <xdr:cxnSp macro="">
      <xdr:nvCxnSpPr>
        <xdr:cNvPr id="133" name="Gerade Verbindung mit Pfeil 132"/>
        <xdr:cNvCxnSpPr/>
      </xdr:nvCxnSpPr>
      <xdr:spPr>
        <a:xfrm>
          <a:off x="5173283" y="12039742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82770</xdr:colOff>
      <xdr:row>54</xdr:row>
      <xdr:rowOff>183431</xdr:rowOff>
    </xdr:from>
    <xdr:to>
      <xdr:col>10</xdr:col>
      <xdr:colOff>116388</xdr:colOff>
      <xdr:row>55</xdr:row>
      <xdr:rowOff>181232</xdr:rowOff>
    </xdr:to>
    <xdr:sp macro="" textlink="">
      <xdr:nvSpPr>
        <xdr:cNvPr id="134" name="Rechteck 133"/>
        <xdr:cNvSpPr/>
      </xdr:nvSpPr>
      <xdr:spPr>
        <a:xfrm>
          <a:off x="5292945" y="11699156"/>
          <a:ext cx="795618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PING_P_R</a:t>
          </a:r>
        </a:p>
      </xdr:txBody>
    </xdr:sp>
    <xdr:clientData/>
  </xdr:twoCellAnchor>
  <xdr:twoCellAnchor>
    <xdr:from>
      <xdr:col>7</xdr:col>
      <xdr:colOff>293681</xdr:colOff>
      <xdr:row>58</xdr:row>
      <xdr:rowOff>112821</xdr:rowOff>
    </xdr:from>
    <xdr:to>
      <xdr:col>8</xdr:col>
      <xdr:colOff>112706</xdr:colOff>
      <xdr:row>59</xdr:row>
      <xdr:rowOff>55670</xdr:rowOff>
    </xdr:to>
    <xdr:sp macro="" textlink="">
      <xdr:nvSpPr>
        <xdr:cNvPr id="135" name="Rechteck 134"/>
        <xdr:cNvSpPr/>
      </xdr:nvSpPr>
      <xdr:spPr>
        <a:xfrm>
          <a:off x="4579931" y="13095396"/>
          <a:ext cx="581025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10</xdr:col>
      <xdr:colOff>355874</xdr:colOff>
      <xdr:row>58</xdr:row>
      <xdr:rowOff>84246</xdr:rowOff>
    </xdr:from>
    <xdr:to>
      <xdr:col>11</xdr:col>
      <xdr:colOff>182743</xdr:colOff>
      <xdr:row>59</xdr:row>
      <xdr:rowOff>27095</xdr:rowOff>
    </xdr:to>
    <xdr:sp macro="" textlink="">
      <xdr:nvSpPr>
        <xdr:cNvPr id="136" name="Rechteck 135"/>
        <xdr:cNvSpPr/>
      </xdr:nvSpPr>
      <xdr:spPr>
        <a:xfrm>
          <a:off x="6328049" y="13066821"/>
          <a:ext cx="588869" cy="24764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Facility</a:t>
          </a:r>
          <a:endParaRPr lang="de-DE"/>
        </a:p>
      </xdr:txBody>
    </xdr:sp>
    <xdr:clientData/>
  </xdr:twoCellAnchor>
  <xdr:twoCellAnchor>
    <xdr:from>
      <xdr:col>9</xdr:col>
      <xdr:colOff>101820</xdr:colOff>
      <xdr:row>57</xdr:row>
      <xdr:rowOff>126281</xdr:rowOff>
    </xdr:from>
    <xdr:to>
      <xdr:col>10</xdr:col>
      <xdr:colOff>135438</xdr:colOff>
      <xdr:row>58</xdr:row>
      <xdr:rowOff>171707</xdr:rowOff>
    </xdr:to>
    <xdr:sp macro="" textlink="">
      <xdr:nvSpPr>
        <xdr:cNvPr id="137" name="Rechteck 136"/>
        <xdr:cNvSpPr/>
      </xdr:nvSpPr>
      <xdr:spPr>
        <a:xfrm>
          <a:off x="5311995" y="12908831"/>
          <a:ext cx="795618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PING_WAS</a:t>
          </a:r>
        </a:p>
      </xdr:txBody>
    </xdr:sp>
    <xdr:clientData/>
  </xdr:twoCellAnchor>
  <xdr:twoCellAnchor>
    <xdr:from>
      <xdr:col>9</xdr:col>
      <xdr:colOff>111345</xdr:colOff>
      <xdr:row>59</xdr:row>
      <xdr:rowOff>69131</xdr:rowOff>
    </xdr:from>
    <xdr:to>
      <xdr:col>10</xdr:col>
      <xdr:colOff>144963</xdr:colOff>
      <xdr:row>60</xdr:row>
      <xdr:rowOff>66932</xdr:rowOff>
    </xdr:to>
    <xdr:sp macro="" textlink="">
      <xdr:nvSpPr>
        <xdr:cNvPr id="138" name="Rechteck 137"/>
        <xdr:cNvSpPr/>
      </xdr:nvSpPr>
      <xdr:spPr>
        <a:xfrm>
          <a:off x="5321520" y="12832631"/>
          <a:ext cx="795618" cy="24545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PING_W_R</a:t>
          </a:r>
        </a:p>
      </xdr:txBody>
    </xdr:sp>
    <xdr:clientData/>
  </xdr:twoCellAnchor>
  <xdr:twoCellAnchor>
    <xdr:from>
      <xdr:col>8</xdr:col>
      <xdr:colOff>159771</xdr:colOff>
      <xdr:row>58</xdr:row>
      <xdr:rowOff>215869</xdr:rowOff>
    </xdr:from>
    <xdr:to>
      <xdr:col>10</xdr:col>
      <xdr:colOff>321696</xdr:colOff>
      <xdr:row>58</xdr:row>
      <xdr:rowOff>215869</xdr:rowOff>
    </xdr:to>
    <xdr:cxnSp macro="">
      <xdr:nvCxnSpPr>
        <xdr:cNvPr id="139" name="Gerade Verbindung mit Pfeil 138"/>
        <xdr:cNvCxnSpPr/>
      </xdr:nvCxnSpPr>
      <xdr:spPr>
        <a:xfrm>
          <a:off x="5208021" y="13198444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20258</xdr:colOff>
      <xdr:row>59</xdr:row>
      <xdr:rowOff>23127</xdr:rowOff>
    </xdr:from>
    <xdr:to>
      <xdr:col>10</xdr:col>
      <xdr:colOff>344108</xdr:colOff>
      <xdr:row>59</xdr:row>
      <xdr:rowOff>23127</xdr:rowOff>
    </xdr:to>
    <xdr:cxnSp macro="">
      <xdr:nvCxnSpPr>
        <xdr:cNvPr id="140" name="Gerade Verbindung mit Pfeil 139"/>
        <xdr:cNvCxnSpPr/>
      </xdr:nvCxnSpPr>
      <xdr:spPr>
        <a:xfrm>
          <a:off x="5230433" y="12786627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270510</xdr:colOff>
      <xdr:row>64</xdr:row>
      <xdr:rowOff>217618</xdr:rowOff>
    </xdr:from>
    <xdr:to>
      <xdr:col>8</xdr:col>
      <xdr:colOff>89535</xdr:colOff>
      <xdr:row>65</xdr:row>
      <xdr:rowOff>72838</xdr:rowOff>
    </xdr:to>
    <xdr:sp macro="" textlink="">
      <xdr:nvSpPr>
        <xdr:cNvPr id="45" name="Rechteck 44"/>
        <xdr:cNvSpPr/>
      </xdr:nvSpPr>
      <xdr:spPr>
        <a:xfrm>
          <a:off x="4690110" y="14306998"/>
          <a:ext cx="603885" cy="2514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WAS</a:t>
          </a:r>
        </a:p>
      </xdr:txBody>
    </xdr:sp>
    <xdr:clientData/>
  </xdr:twoCellAnchor>
  <xdr:twoCellAnchor>
    <xdr:from>
      <xdr:col>10</xdr:col>
      <xdr:colOff>321945</xdr:colOff>
      <xdr:row>64</xdr:row>
      <xdr:rowOff>208093</xdr:rowOff>
    </xdr:from>
    <xdr:to>
      <xdr:col>11</xdr:col>
      <xdr:colOff>144780</xdr:colOff>
      <xdr:row>65</xdr:row>
      <xdr:rowOff>63313</xdr:rowOff>
    </xdr:to>
    <xdr:sp macro="" textlink="">
      <xdr:nvSpPr>
        <xdr:cNvPr id="48" name="Rechteck 47"/>
        <xdr:cNvSpPr/>
      </xdr:nvSpPr>
      <xdr:spPr>
        <a:xfrm>
          <a:off x="6486525" y="14297473"/>
          <a:ext cx="615315" cy="2514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9</xdr:col>
      <xdr:colOff>91984</xdr:colOff>
      <xdr:row>64</xdr:row>
      <xdr:rowOff>53853</xdr:rowOff>
    </xdr:from>
    <xdr:to>
      <xdr:col>10</xdr:col>
      <xdr:colOff>120559</xdr:colOff>
      <xdr:row>64</xdr:row>
      <xdr:rowOff>301390</xdr:rowOff>
    </xdr:to>
    <xdr:sp macro="" textlink="">
      <xdr:nvSpPr>
        <xdr:cNvPr id="49" name="Rechteck 48"/>
        <xdr:cNvSpPr/>
      </xdr:nvSpPr>
      <xdr:spPr>
        <a:xfrm>
          <a:off x="5464084" y="14143233"/>
          <a:ext cx="821055" cy="24753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ID_EXIT1</a:t>
          </a:r>
        </a:p>
      </xdr:txBody>
    </xdr:sp>
    <xdr:clientData/>
  </xdr:twoCellAnchor>
  <xdr:twoCellAnchor>
    <xdr:from>
      <xdr:col>8</xdr:col>
      <xdr:colOff>127635</xdr:colOff>
      <xdr:row>64</xdr:row>
      <xdr:rowOff>352478</xdr:rowOff>
    </xdr:from>
    <xdr:to>
      <xdr:col>10</xdr:col>
      <xdr:colOff>283845</xdr:colOff>
      <xdr:row>64</xdr:row>
      <xdr:rowOff>352478</xdr:rowOff>
    </xdr:to>
    <xdr:cxnSp macro="">
      <xdr:nvCxnSpPr>
        <xdr:cNvPr id="50" name="Gerade Verbindung mit Pfeil 49"/>
        <xdr:cNvCxnSpPr/>
      </xdr:nvCxnSpPr>
      <xdr:spPr>
        <a:xfrm flipH="1">
          <a:off x="5332095" y="14441858"/>
          <a:ext cx="111633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12</xdr:col>
      <xdr:colOff>0</xdr:colOff>
      <xdr:row>10</xdr:row>
      <xdr:rowOff>95250</xdr:rowOff>
    </xdr:to>
    <xdr:sp macro="" textlink="">
      <xdr:nvSpPr>
        <xdr:cNvPr id="2" name="Rechteck 1"/>
        <xdr:cNvSpPr/>
      </xdr:nvSpPr>
      <xdr:spPr>
        <a:xfrm>
          <a:off x="9239250" y="1333500"/>
          <a:ext cx="3048000" cy="1428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600"/>
            <a:t>Wichtig: Das ist </a:t>
          </a:r>
          <a:r>
            <a:rPr lang="de-DE" sz="1600" b="1" u="sng"/>
            <a:t>nicht</a:t>
          </a:r>
          <a:r>
            <a:rPr lang="de-DE" sz="1600"/>
            <a:t> das gleiche Telegramm, das an die Schraubtechnik gesendet wird!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_Gremien/11_FG_EL/41_P_AKZ/Standard/Archiv/Users/q006239/AppData/Local/Microsoft/Windows/Temporary%20Internet%20Files/Content.Outlook/OHIIHR4B/OK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ktionskürzel"/>
      <sheetName val="Funktionskürzel alternativ"/>
      <sheetName val="Daten"/>
    </sheetNames>
    <sheetDataSet>
      <sheetData sheetId="0" refreshError="1"/>
      <sheetData sheetId="1" refreshError="1"/>
      <sheetData sheetId="2" refreshError="1">
        <row r="1">
          <cell r="A1" t="str">
            <v>DE</v>
          </cell>
        </row>
        <row r="2">
          <cell r="A2" t="str">
            <v>--</v>
          </cell>
        </row>
        <row r="3">
          <cell r="A3" t="str">
            <v>--</v>
          </cell>
        </row>
        <row r="4">
          <cell r="A4" t="str">
            <v>Abluft</v>
          </cell>
        </row>
        <row r="5">
          <cell r="A5" t="str">
            <v>Abzugsantrieb</v>
          </cell>
        </row>
        <row r="6">
          <cell r="A6" t="str">
            <v>Abzugsantrieb</v>
          </cell>
        </row>
        <row r="7">
          <cell r="A7" t="str">
            <v>Andockantrieb</v>
          </cell>
        </row>
        <row r="8">
          <cell r="A8" t="str">
            <v>Andockantrieb</v>
          </cell>
        </row>
        <row r="9">
          <cell r="A9" t="str">
            <v>Anlagen-PC</v>
          </cell>
        </row>
        <row r="10">
          <cell r="A10" t="str">
            <v>Anpass-/Antriebs-Schrank bzw. -Kasten, Leistungschrank Steuerung Steuerungstechnik</v>
          </cell>
        </row>
        <row r="11">
          <cell r="A11" t="str">
            <v>Anzeigen (Tableaus, Einzelanzeigen)</v>
          </cell>
        </row>
        <row r="12">
          <cell r="A12" t="str">
            <v>Arbeitsplatz, Takt,</v>
          </cell>
        </row>
        <row r="13">
          <cell r="A13" t="str">
            <v>Arbeitsraum</v>
          </cell>
        </row>
        <row r="14">
          <cell r="A14" t="str">
            <v>Arretierung</v>
          </cell>
        </row>
        <row r="15">
          <cell r="A15" t="str">
            <v>Aufheizzone</v>
          </cell>
        </row>
        <row r="16">
          <cell r="A16" t="str">
            <v>Auslagerwagen</v>
          </cell>
        </row>
        <row r="17">
          <cell r="A17" t="str">
            <v>Auslauf</v>
          </cell>
        </row>
        <row r="18">
          <cell r="A18" t="str">
            <v>Ausschieber</v>
          </cell>
        </row>
        <row r="19">
          <cell r="A19" t="str">
            <v>Aussenluft</v>
          </cell>
        </row>
        <row r="20">
          <cell r="A20" t="str">
            <v>Bauteileentsorgung</v>
          </cell>
        </row>
        <row r="21">
          <cell r="A21" t="str">
            <v>Bauteilfixierung</v>
          </cell>
        </row>
        <row r="22">
          <cell r="A22" t="str">
            <v>Bauteilversorgung</v>
          </cell>
        </row>
        <row r="23">
          <cell r="A23" t="str">
            <v>Bedientableau</v>
          </cell>
        </row>
        <row r="24">
          <cell r="A24" t="str">
            <v>Behälteraufnahme Behälterturm</v>
          </cell>
        </row>
        <row r="25">
          <cell r="A25" t="str">
            <v>Beladearm</v>
          </cell>
        </row>
        <row r="26">
          <cell r="A26" t="str">
            <v>Beladetüre</v>
          </cell>
        </row>
        <row r="27">
          <cell r="A27" t="str">
            <v>Beleuchtung</v>
          </cell>
        </row>
        <row r="28">
          <cell r="A28" t="str">
            <v>Blindnieten</v>
          </cell>
        </row>
        <row r="29">
          <cell r="A29" t="str">
            <v>Blockstelle</v>
          </cell>
        </row>
        <row r="30">
          <cell r="A30" t="str">
            <v>Bohreinheit</v>
          </cell>
        </row>
        <row r="31">
          <cell r="A31" t="str">
            <v>Bolzenschweissen</v>
          </cell>
        </row>
        <row r="32">
          <cell r="A32" t="str">
            <v>Brandschutztor</v>
          </cell>
        </row>
        <row r="33">
          <cell r="A33" t="str">
            <v>Bremsantrieb</v>
          </cell>
        </row>
        <row r="34">
          <cell r="A34" t="str">
            <v>Brenner</v>
          </cell>
        </row>
        <row r="35">
          <cell r="A35" t="str">
            <v>Buckelschweissen</v>
          </cell>
        </row>
        <row r="36">
          <cell r="A36" t="str">
            <v>BVS-Schrank + integrierte Einspeisung (BVSE-Schrank)</v>
          </cell>
        </row>
        <row r="37">
          <cell r="A37" t="str">
            <v>BVx-Schrank (BVS, BVT, BVO)</v>
          </cell>
        </row>
        <row r="38">
          <cell r="A38" t="str">
            <v>Clinchen</v>
          </cell>
        </row>
        <row r="39">
          <cell r="A39" t="str">
            <v>Diagnosestation</v>
          </cell>
        </row>
        <row r="40">
          <cell r="A40" t="str">
            <v>Distanzkontrolle</v>
          </cell>
        </row>
        <row r="41">
          <cell r="A41" t="str">
            <v>Dosierbehälter</v>
          </cell>
        </row>
        <row r="42">
          <cell r="A42" t="str">
            <v>Drehantrieb</v>
          </cell>
        </row>
        <row r="43">
          <cell r="A43" t="str">
            <v>Drehtisch</v>
          </cell>
        </row>
        <row r="44">
          <cell r="A44" t="str">
            <v>Drehtisch</v>
          </cell>
        </row>
        <row r="45">
          <cell r="A45" t="str">
            <v>Drehtisch</v>
          </cell>
        </row>
        <row r="46">
          <cell r="A46" t="str">
            <v>Drehtrommel</v>
          </cell>
        </row>
        <row r="47">
          <cell r="A47" t="str">
            <v>Drehverteiler</v>
          </cell>
        </row>
        <row r="48">
          <cell r="A48" t="str">
            <v>Druckluft</v>
          </cell>
        </row>
        <row r="49">
          <cell r="A49" t="str">
            <v>Düsenreinigung</v>
          </cell>
        </row>
        <row r="50">
          <cell r="A50" t="str">
            <v>Ein-/Ausschleusstation</v>
          </cell>
        </row>
        <row r="51">
          <cell r="A51" t="str">
            <v>Einlegestation, Einschleusen</v>
          </cell>
        </row>
        <row r="52">
          <cell r="A52" t="str">
            <v>Einrichtmeister</v>
          </cell>
        </row>
        <row r="53">
          <cell r="A53" t="str">
            <v>Einspeiseschrank</v>
          </cell>
        </row>
        <row r="54">
          <cell r="A54" t="str">
            <v>Einspeiseschrank (ohne Steuerung)</v>
          </cell>
        </row>
        <row r="55">
          <cell r="A55" t="str">
            <v>Elektrodenkappenwechsler</v>
          </cell>
        </row>
        <row r="56">
          <cell r="A56" t="str">
            <v>Entkoppler</v>
          </cell>
        </row>
        <row r="57">
          <cell r="A57" t="str">
            <v>Etikettierer</v>
          </cell>
        </row>
        <row r="58">
          <cell r="A58" t="str">
            <v>Fahrkabine</v>
          </cell>
        </row>
        <row r="59">
          <cell r="A59" t="str">
            <v>Fahrschiene, Fahrschalter</v>
          </cell>
        </row>
        <row r="60">
          <cell r="A60" t="str">
            <v>Fahrwerk, Farbwahl</v>
          </cell>
        </row>
        <row r="61">
          <cell r="A61" t="str">
            <v>Fahrzone</v>
          </cell>
        </row>
        <row r="62">
          <cell r="A62" t="str">
            <v>Fahrzoneneinspeisekasten (Fördertechnik)</v>
          </cell>
        </row>
        <row r="63">
          <cell r="A63" t="str">
            <v>Filter allgemein</v>
          </cell>
        </row>
        <row r="64">
          <cell r="A64" t="str">
            <v>Flüssigkeitsbehälter</v>
          </cell>
        </row>
        <row r="65">
          <cell r="A65" t="str">
            <v>Fördermittel</v>
          </cell>
        </row>
        <row r="66">
          <cell r="A66" t="str">
            <v>Frischluft</v>
          </cell>
        </row>
        <row r="67">
          <cell r="A67" t="str">
            <v>Fügen</v>
          </cell>
        </row>
        <row r="68">
          <cell r="A68" t="str">
            <v>Funktionsgruppe</v>
          </cell>
        </row>
        <row r="69">
          <cell r="A69" t="str">
            <v>Gehänge Schließstation</v>
          </cell>
        </row>
        <row r="70">
          <cell r="A70" t="str">
            <v>Gehänge Verstellstation</v>
          </cell>
        </row>
        <row r="71">
          <cell r="A71" t="str">
            <v>Geschwindigkeitserfassung (general)</v>
          </cell>
        </row>
        <row r="72">
          <cell r="A72" t="str">
            <v>Greifer (Handling) am Roboter</v>
          </cell>
        </row>
        <row r="73">
          <cell r="A73" t="str">
            <v>Gruppe</v>
          </cell>
        </row>
        <row r="74">
          <cell r="A74" t="str">
            <v>Gurt- / Zahnriemenförderer</v>
          </cell>
        </row>
        <row r="75">
          <cell r="A75" t="str">
            <v>Handlingsgerät</v>
          </cell>
        </row>
        <row r="76">
          <cell r="A76" t="str">
            <v>Hand-Vor-Ort-Bedieneinheit</v>
          </cell>
        </row>
        <row r="77">
          <cell r="A77" t="str">
            <v>Heizung</v>
          </cell>
        </row>
        <row r="78">
          <cell r="A78" t="str">
            <v>Hubbalken Block</v>
          </cell>
        </row>
        <row r="79">
          <cell r="A79" t="str">
            <v>Hubbalkenblock</v>
          </cell>
        </row>
        <row r="80">
          <cell r="A80" t="str">
            <v>Hubstation</v>
          </cell>
        </row>
        <row r="81">
          <cell r="A81" t="str">
            <v>Hubstation</v>
          </cell>
        </row>
        <row r="82">
          <cell r="A82" t="str">
            <v>Hubstation</v>
          </cell>
        </row>
        <row r="83">
          <cell r="A83" t="str">
            <v>Hubtisch</v>
          </cell>
        </row>
        <row r="84">
          <cell r="A84" t="str">
            <v>Hubtisch</v>
          </cell>
        </row>
        <row r="85">
          <cell r="A85" t="str">
            <v>Hubtisch</v>
          </cell>
        </row>
        <row r="86">
          <cell r="A86" t="str">
            <v>Hubwerk</v>
          </cell>
        </row>
        <row r="87">
          <cell r="A87" t="str">
            <v>Hydraulik</v>
          </cell>
        </row>
        <row r="88">
          <cell r="A88" t="str">
            <v>Hydraulikaggregat</v>
          </cell>
        </row>
        <row r="89">
          <cell r="A89" t="str">
            <v>Hydraulikaggregat</v>
          </cell>
        </row>
        <row r="90">
          <cell r="A90" t="str">
            <v>Identsystem</v>
          </cell>
        </row>
        <row r="91">
          <cell r="A91" t="str">
            <v>Industrie-Roboter</v>
          </cell>
        </row>
        <row r="92">
          <cell r="A92" t="str">
            <v>Inline-Messstation</v>
          </cell>
        </row>
        <row r="93">
          <cell r="A93" t="str">
            <v>Installationsnotaustaster</v>
          </cell>
        </row>
        <row r="94">
          <cell r="A94" t="str">
            <v>Kabine</v>
          </cell>
        </row>
        <row r="95">
          <cell r="A95" t="str">
            <v>Kamerasystem</v>
          </cell>
        </row>
        <row r="96">
          <cell r="A96" t="str">
            <v>Kappenfräser und E-Kappenwechsler</v>
          </cell>
        </row>
        <row r="97">
          <cell r="A97" t="str">
            <v>Karossenumsetzer</v>
          </cell>
        </row>
        <row r="98">
          <cell r="A98" t="str">
            <v>Karossenverriegelung</v>
          </cell>
        </row>
        <row r="99">
          <cell r="A99" t="str">
            <v>Kette Einlag., Kuppeleinheit, Klappstation</v>
          </cell>
        </row>
        <row r="100">
          <cell r="A100" t="str">
            <v>Kettenförderer</v>
          </cell>
        </row>
        <row r="101">
          <cell r="A101" t="str">
            <v>Kipptisch</v>
          </cell>
        </row>
        <row r="102">
          <cell r="A102" t="str">
            <v>Kleben allg., Klebe-Technik/Auftrag</v>
          </cell>
        </row>
        <row r="103">
          <cell r="A103" t="str">
            <v>Klebetechnik</v>
          </cell>
        </row>
        <row r="104">
          <cell r="A104" t="str">
            <v>Klemmkasten</v>
          </cell>
        </row>
        <row r="105">
          <cell r="A105" t="str">
            <v>Klemmung</v>
          </cell>
        </row>
        <row r="106">
          <cell r="A106" t="str">
            <v>Kühlen</v>
          </cell>
        </row>
        <row r="107">
          <cell r="A107" t="str">
            <v>Kühlzone</v>
          </cell>
        </row>
        <row r="108">
          <cell r="A108" t="str">
            <v>Kurvenblock</v>
          </cell>
        </row>
        <row r="109">
          <cell r="A109" t="str">
            <v>Kurvenblock</v>
          </cell>
        </row>
        <row r="110">
          <cell r="A110" t="str">
            <v>Längsförderer</v>
          </cell>
        </row>
        <row r="111">
          <cell r="A111" t="str">
            <v>Laserschweißen</v>
          </cell>
        </row>
        <row r="112">
          <cell r="A112" t="str">
            <v>Laufrollen</v>
          </cell>
        </row>
        <row r="113">
          <cell r="A113" t="str">
            <v>Leistungsschrank (evtl. inkl. Steu./ Einsp.)</v>
          </cell>
        </row>
        <row r="114">
          <cell r="A114" t="str">
            <v>Lenkradmesswaage</v>
          </cell>
        </row>
        <row r="115">
          <cell r="A115" t="str">
            <v>Luftaufbereitung</v>
          </cell>
        </row>
        <row r="116">
          <cell r="A116" t="str">
            <v>Makiersysteme (Präger, Nadelritzen,)</v>
          </cell>
        </row>
        <row r="117">
          <cell r="A117" t="str">
            <v>Medien-Modul (Roboter Luft und Wasser)</v>
          </cell>
        </row>
        <row r="118">
          <cell r="A118" t="str">
            <v>Medienplatte, Medieneinspeisung, Luftverbrauchsmessung (Fertigungsanlagen)</v>
          </cell>
        </row>
        <row r="119">
          <cell r="A119" t="str">
            <v>Meldeschiene, Messschrank</v>
          </cell>
        </row>
        <row r="120">
          <cell r="A120" t="str">
            <v>Messeinrichtung</v>
          </cell>
        </row>
        <row r="121">
          <cell r="A121" t="str">
            <v>Meßschlitten</v>
          </cell>
        </row>
        <row r="122">
          <cell r="A122" t="str">
            <v>Mischbehälter</v>
          </cell>
        </row>
        <row r="123">
          <cell r="A123" t="str">
            <v>Montageplatz, Montieren</v>
          </cell>
        </row>
        <row r="124">
          <cell r="A124" t="str">
            <v>Niederspannungsverteiler-Schrank</v>
          </cell>
        </row>
        <row r="125">
          <cell r="A125" t="str">
            <v>Nieten</v>
          </cell>
        </row>
        <row r="126">
          <cell r="A126" t="str">
            <v>Not-Aus</v>
          </cell>
        </row>
        <row r="127">
          <cell r="A127" t="str">
            <v>Notaus Schiene</v>
          </cell>
        </row>
        <row r="128">
          <cell r="A128" t="str">
            <v>Not-Aus Schiene Trennblock</v>
          </cell>
        </row>
        <row r="129">
          <cell r="A129" t="str">
            <v>Paternoster</v>
          </cell>
        </row>
        <row r="130">
          <cell r="A130" t="str">
            <v>PE-Prüfstation</v>
          </cell>
        </row>
        <row r="131">
          <cell r="A131" t="str">
            <v>Plattenband</v>
          </cell>
        </row>
        <row r="132">
          <cell r="A132" t="str">
            <v>Positioniereinrichtung / Zentrierung</v>
          </cell>
        </row>
        <row r="133">
          <cell r="A133" t="str">
            <v>Power and Free Förderanlage</v>
          </cell>
        </row>
        <row r="134">
          <cell r="A134" t="str">
            <v>Powerrail Booster Schiene A/B</v>
          </cell>
        </row>
        <row r="135">
          <cell r="A135" t="str">
            <v>Powerrail Booster Trennblock,
Portal</v>
          </cell>
        </row>
        <row r="136">
          <cell r="A136" t="str">
            <v>Primerauftrag</v>
          </cell>
        </row>
        <row r="137">
          <cell r="A137" t="str">
            <v>Protokolldrucker</v>
          </cell>
        </row>
        <row r="138">
          <cell r="A138" t="str">
            <v>Prozessleine</v>
          </cell>
        </row>
        <row r="139">
          <cell r="A139" t="str">
            <v>Prüf Station / Ausschleusstation</v>
          </cell>
        </row>
        <row r="140">
          <cell r="A140" t="str">
            <v>Prüfen</v>
          </cell>
        </row>
        <row r="141">
          <cell r="A141" t="str">
            <v>Prüfstation</v>
          </cell>
        </row>
        <row r="142">
          <cell r="A142" t="str">
            <v>Puffer, Pufferförderer</v>
          </cell>
        </row>
        <row r="143">
          <cell r="A143" t="str">
            <v>Pumpe</v>
          </cell>
        </row>
        <row r="144">
          <cell r="A144" t="str">
            <v>Querkettenförderer</v>
          </cell>
        </row>
        <row r="145">
          <cell r="A145" t="str">
            <v>Radstandsverstelleinheit</v>
          </cell>
        </row>
        <row r="146">
          <cell r="A146" t="str">
            <v>Rechnerschrank</v>
          </cell>
        </row>
        <row r="147">
          <cell r="A147" t="str">
            <v>Regal</v>
          </cell>
        </row>
        <row r="148">
          <cell r="A148" t="str">
            <v>Roboter</v>
          </cell>
        </row>
        <row r="149">
          <cell r="A149" t="str">
            <v>Rollenbahn</v>
          </cell>
        </row>
        <row r="150">
          <cell r="A150" t="str">
            <v>Rollenbahn</v>
          </cell>
        </row>
        <row r="151">
          <cell r="A151" t="str">
            <v>Rollenförderer</v>
          </cell>
        </row>
        <row r="152">
          <cell r="A152" t="str">
            <v>Rollenumsetzstation</v>
          </cell>
        </row>
        <row r="153">
          <cell r="A153" t="str">
            <v>Rolltor</v>
          </cell>
        </row>
        <row r="154">
          <cell r="A154" t="str">
            <v>Rücklauf</v>
          </cell>
        </row>
        <row r="155">
          <cell r="A155" t="str">
            <v>Rührwerk</v>
          </cell>
        </row>
        <row r="156">
          <cell r="A156" t="str">
            <v>Schieneneinspeisungen (Segment)</v>
          </cell>
        </row>
        <row r="157">
          <cell r="A157" t="str">
            <v>Schleppförderer</v>
          </cell>
        </row>
        <row r="158">
          <cell r="A158" t="str">
            <v>Schrauber Controller</v>
          </cell>
        </row>
        <row r="159">
          <cell r="A159" t="str">
            <v>Schubantrieb</v>
          </cell>
        </row>
        <row r="160">
          <cell r="A160" t="str">
            <v>Schutzgas</v>
          </cell>
        </row>
        <row r="161">
          <cell r="A161" t="str">
            <v>Schutztür</v>
          </cell>
        </row>
        <row r="162">
          <cell r="A162" t="str">
            <v>Schutztürriegel</v>
          </cell>
        </row>
        <row r="163">
          <cell r="A163" t="str">
            <v>Schutzzaun</v>
          </cell>
        </row>
        <row r="164">
          <cell r="A164" t="str">
            <v>Schweisskoffer</v>
          </cell>
        </row>
        <row r="165">
          <cell r="A165" t="str">
            <v>Schweisszange</v>
          </cell>
        </row>
        <row r="166">
          <cell r="A166" t="str">
            <v>Schwenkplatte
Schwenkeinrichtung / Schwenkeinheit/Schwenktisch</v>
          </cell>
        </row>
        <row r="167">
          <cell r="A167" t="str">
            <v>Servoeinheit</v>
          </cell>
        </row>
        <row r="168">
          <cell r="A168" t="str">
            <v>Shuttle</v>
          </cell>
        </row>
        <row r="169">
          <cell r="A169" t="str">
            <v>Shuttle / transfer</v>
          </cell>
        </row>
        <row r="170">
          <cell r="A170" t="str">
            <v>Sicherheits Block (Fördertechnik)</v>
          </cell>
        </row>
        <row r="171">
          <cell r="A171" t="str">
            <v>Sicherheitsblock</v>
          </cell>
        </row>
        <row r="172">
          <cell r="A172" t="str">
            <v>Signalaustausch</v>
          </cell>
        </row>
        <row r="173">
          <cell r="A173" t="str">
            <v>Speicher Regal / Bauteilablage (ohne Wertschöpfung)</v>
          </cell>
        </row>
        <row r="174">
          <cell r="A174" t="str">
            <v>Sperre</v>
          </cell>
        </row>
        <row r="175">
          <cell r="A175" t="str">
            <v>Stauförderer</v>
          </cell>
        </row>
        <row r="176">
          <cell r="A176" t="str">
            <v>Staukette</v>
          </cell>
        </row>
        <row r="177">
          <cell r="A177" t="str">
            <v>Stellgerät general</v>
          </cell>
        </row>
        <row r="178">
          <cell r="A178" t="str">
            <v>Steuerschrank (evtl. inkl. Leistung)</v>
          </cell>
        </row>
        <row r="179">
          <cell r="A179" t="str">
            <v>Stopper (Fördertechnik)</v>
          </cell>
        </row>
        <row r="180">
          <cell r="A180" t="str">
            <v>Teleskopgabel
Gabel</v>
          </cell>
        </row>
        <row r="181">
          <cell r="A181" t="str">
            <v>Terminal f. Dateneingabe; Datensichtger.</v>
          </cell>
        </row>
        <row r="182">
          <cell r="A182" t="str">
            <v>Träger</v>
          </cell>
        </row>
        <row r="183">
          <cell r="A183" t="str">
            <v>Tragkettenförderer</v>
          </cell>
        </row>
        <row r="184">
          <cell r="A184" t="str">
            <v>Transfer</v>
          </cell>
        </row>
        <row r="185">
          <cell r="A185" t="str">
            <v>Trennblock</v>
          </cell>
        </row>
        <row r="186">
          <cell r="A186" t="str">
            <v>Trennblockkasten (Fördertechnik)</v>
          </cell>
        </row>
        <row r="187">
          <cell r="A187" t="str">
            <v>Trockner</v>
          </cell>
        </row>
        <row r="188">
          <cell r="A188" t="str">
            <v>Typerkennung</v>
          </cell>
        </row>
        <row r="189">
          <cell r="A189" t="str">
            <v>Umluft</v>
          </cell>
        </row>
        <row r="190">
          <cell r="A190" t="str">
            <v>Umsetzeinheit (Übersetzer)</v>
          </cell>
        </row>
        <row r="191">
          <cell r="A191" t="str">
            <v>Umsetzstation, Umsetzeinheit, Übersetzer</v>
          </cell>
        </row>
        <row r="192">
          <cell r="A192" t="str">
            <v>Umsetzzone</v>
          </cell>
        </row>
        <row r="193">
          <cell r="A193" t="str">
            <v>Unterverteiler</v>
          </cell>
        </row>
        <row r="194">
          <cell r="A194" t="str">
            <v>Unterverteiler 
Klemmkasten
Schaltkasten</v>
          </cell>
        </row>
        <row r="195">
          <cell r="A195" t="str">
            <v>Ventilschrank</v>
          </cell>
        </row>
        <row r="196">
          <cell r="A196" t="str">
            <v>Ver- /Entriegelungsstation</v>
          </cell>
        </row>
        <row r="197">
          <cell r="A197" t="str">
            <v>Vereinzelung</v>
          </cell>
        </row>
        <row r="198">
          <cell r="A198" t="str">
            <v>Verriegelung</v>
          </cell>
        </row>
        <row r="199">
          <cell r="A199" t="str">
            <v>Verschiebewagen</v>
          </cell>
        </row>
        <row r="200">
          <cell r="A200" t="str">
            <v>Verschiebewagen</v>
          </cell>
        </row>
        <row r="201">
          <cell r="A201" t="str">
            <v>Vertikal Förderer</v>
          </cell>
        </row>
        <row r="202">
          <cell r="A202" t="str">
            <v>Vorlauf</v>
          </cell>
        </row>
        <row r="203">
          <cell r="A203" t="str">
            <v>Warte Block (Fördertechnik)</v>
          </cell>
        </row>
        <row r="204">
          <cell r="A204" t="str">
            <v>Wartungseinheit</v>
          </cell>
        </row>
        <row r="205">
          <cell r="A205" t="str">
            <v>Wartungseinheit</v>
          </cell>
        </row>
        <row r="206">
          <cell r="A206" t="str">
            <v>Waschanlage</v>
          </cell>
        </row>
        <row r="207">
          <cell r="A207" t="str">
            <v>Weiche</v>
          </cell>
        </row>
        <row r="208">
          <cell r="A208" t="str">
            <v>Weiche (Fördertechnik)</v>
          </cell>
        </row>
        <row r="209">
          <cell r="A209" t="str">
            <v>Werkermitfahrband, Warteblock</v>
          </cell>
        </row>
        <row r="210">
          <cell r="A210" t="str">
            <v>Werkerplatz mit Tor, Scanner oder Licht-vorhang</v>
          </cell>
        </row>
        <row r="211">
          <cell r="A211" t="str">
            <v>Werkertor</v>
          </cell>
        </row>
        <row r="212">
          <cell r="A212" t="str">
            <v>Werkzeug (Fertigungsanlagen)</v>
          </cell>
        </row>
        <row r="213">
          <cell r="A213" t="str">
            <v>Werkzeug general</v>
          </cell>
        </row>
        <row r="214">
          <cell r="A214" t="str">
            <v>Werkzeugablage (Robotergreifer, Zangenbahnhof)</v>
          </cell>
        </row>
        <row r="215">
          <cell r="A215" t="str">
            <v>Werkzeugwechsler</v>
          </cell>
        </row>
        <row r="216">
          <cell r="A216" t="str">
            <v>Wippe</v>
          </cell>
        </row>
        <row r="217">
          <cell r="A217" t="str">
            <v>Zuführeinheit (Kokat, Bauteilrutschen,Vereinzelner, Bauteilwagen)</v>
          </cell>
        </row>
        <row r="218">
          <cell r="A218" t="str">
            <v>Zug- Hubeinrichtung</v>
          </cell>
        </row>
        <row r="219">
          <cell r="A219" t="str">
            <v>Zuluft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FF00"/>
  </sheetPr>
  <dimension ref="A1:AF72"/>
  <sheetViews>
    <sheetView showGridLines="0" zoomScaleNormal="100" workbookViewId="0">
      <pane ySplit="4" topLeftCell="A5" activePane="bottomLeft" state="frozen"/>
      <selection pane="bottomLeft" activeCell="Q65" sqref="Q65"/>
    </sheetView>
  </sheetViews>
  <sheetFormatPr baseColWidth="10" defaultRowHeight="12.75" outlineLevelRow="1" x14ac:dyDescent="0.2"/>
  <cols>
    <col min="1" max="1" width="4" customWidth="1"/>
    <col min="2" max="2" width="11.42578125" style="4"/>
    <col min="4" max="4" width="8.85546875" customWidth="1"/>
    <col min="5" max="5" width="2.42578125" style="4" customWidth="1"/>
    <col min="6" max="6" width="12.5703125" customWidth="1"/>
    <col min="7" max="7" width="13.5703125" customWidth="1"/>
    <col min="8" max="8" width="11.42578125" customWidth="1"/>
    <col min="9" max="9" width="2.42578125" style="4" customWidth="1"/>
    <col min="13" max="13" width="2.42578125" style="4" customWidth="1"/>
    <col min="14" max="14" width="6" customWidth="1"/>
    <col min="15" max="15" width="3.140625" customWidth="1"/>
    <col min="16" max="16" width="3.140625" style="4" customWidth="1"/>
    <col min="17" max="17" width="19.85546875" customWidth="1"/>
    <col min="21" max="21" width="11.42578125" style="4"/>
    <col min="29" max="29" width="10.5703125" customWidth="1"/>
    <col min="30" max="30" width="13.5703125" customWidth="1"/>
    <col min="32" max="32" width="4" customWidth="1"/>
  </cols>
  <sheetData>
    <row r="1" spans="1:32" s="4" customFormat="1" ht="9" customHeight="1" x14ac:dyDescent="0.2">
      <c r="D1" s="8"/>
    </row>
    <row r="2" spans="1:32" s="4" customFormat="1" ht="42.75" customHeight="1" x14ac:dyDescent="0.2">
      <c r="C2" s="284" t="s">
        <v>311</v>
      </c>
      <c r="D2" s="284"/>
      <c r="E2" s="284"/>
      <c r="F2" s="284"/>
      <c r="G2" s="284"/>
      <c r="H2" s="284"/>
      <c r="I2" s="284"/>
      <c r="J2" s="284"/>
      <c r="K2" s="284"/>
      <c r="L2" s="284"/>
      <c r="M2" s="284"/>
      <c r="N2" s="284"/>
      <c r="O2" s="284"/>
    </row>
    <row r="3" spans="1:32" s="4" customFormat="1" ht="24" customHeight="1" x14ac:dyDescent="0.2">
      <c r="C3" s="63" t="str">
        <f>C10</f>
        <v>Facility description</v>
      </c>
      <c r="E3" s="8"/>
      <c r="O3" s="6"/>
      <c r="P3" s="6"/>
      <c r="Q3" s="6"/>
      <c r="R3" s="6"/>
      <c r="S3" s="6"/>
    </row>
    <row r="4" spans="1:32" s="4" customFormat="1" ht="3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6"/>
      <c r="P4" s="6"/>
      <c r="Q4" s="6"/>
      <c r="R4" s="6"/>
      <c r="S4" s="6"/>
    </row>
    <row r="5" spans="1:32" x14ac:dyDescent="0.2">
      <c r="B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32" s="4" customFormat="1" ht="15.75" x14ac:dyDescent="0.25">
      <c r="B6" s="16" t="s">
        <v>63</v>
      </c>
      <c r="C6" s="11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P6" s="16" t="s">
        <v>49</v>
      </c>
    </row>
    <row r="7" spans="1:32" outlineLevel="1" x14ac:dyDescent="0.2"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3"/>
      <c r="P7" s="59" t="s">
        <v>50</v>
      </c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60"/>
    </row>
    <row r="8" spans="1:32" ht="25.5" customHeight="1" outlineLevel="1" x14ac:dyDescent="0.2">
      <c r="B8" s="24"/>
      <c r="C8" s="19"/>
      <c r="D8" s="25"/>
      <c r="E8" s="25"/>
      <c r="F8" s="290"/>
      <c r="G8" s="291"/>
      <c r="H8" s="25"/>
      <c r="I8" s="25"/>
      <c r="J8" s="14"/>
      <c r="K8" s="25"/>
      <c r="L8" s="269"/>
      <c r="M8" s="270"/>
      <c r="N8" s="26"/>
      <c r="P8" s="285" t="s">
        <v>51</v>
      </c>
      <c r="Q8" s="282"/>
      <c r="R8" s="282"/>
      <c r="S8" s="282"/>
      <c r="T8" s="282"/>
      <c r="U8" s="282"/>
      <c r="V8" s="282"/>
      <c r="W8" s="282"/>
      <c r="X8" s="58"/>
      <c r="Y8" s="58"/>
      <c r="Z8" s="58"/>
      <c r="AA8" s="58"/>
      <c r="AB8" s="58"/>
      <c r="AC8" s="93"/>
      <c r="AD8" s="93"/>
      <c r="AE8" s="93"/>
      <c r="AF8" s="97"/>
    </row>
    <row r="9" spans="1:32" ht="17.25" customHeight="1" outlineLevel="1" x14ac:dyDescent="0.2">
      <c r="B9" s="24"/>
      <c r="C9" s="70" t="s">
        <v>19</v>
      </c>
      <c r="D9" s="71"/>
      <c r="E9" s="71"/>
      <c r="F9" s="70" t="s">
        <v>22</v>
      </c>
      <c r="G9" s="71"/>
      <c r="H9" s="71"/>
      <c r="I9" s="71"/>
      <c r="J9" s="70" t="s">
        <v>20</v>
      </c>
      <c r="K9" s="71"/>
      <c r="L9" s="70" t="s">
        <v>21</v>
      </c>
      <c r="M9" s="10"/>
      <c r="N9" s="26"/>
      <c r="P9" s="50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61"/>
    </row>
    <row r="10" spans="1:32" ht="30" customHeight="1" outlineLevel="1" x14ac:dyDescent="0.2">
      <c r="B10" s="24"/>
      <c r="C10" s="295" t="s">
        <v>70</v>
      </c>
      <c r="D10" s="296"/>
      <c r="E10" s="296"/>
      <c r="F10" s="296"/>
      <c r="G10" s="296"/>
      <c r="H10" s="296"/>
      <c r="I10" s="296"/>
      <c r="J10" s="296"/>
      <c r="K10" s="296"/>
      <c r="L10" s="296"/>
      <c r="M10" s="297"/>
      <c r="N10" s="26"/>
      <c r="P10" s="50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61"/>
    </row>
    <row r="11" spans="1:32" ht="18" customHeight="1" outlineLevel="1" x14ac:dyDescent="0.2">
      <c r="B11" s="24"/>
      <c r="C11" s="70" t="s">
        <v>73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6"/>
      <c r="P11" s="50"/>
      <c r="Q11" s="52" t="s">
        <v>116</v>
      </c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61"/>
    </row>
    <row r="12" spans="1:32" ht="30" customHeight="1" outlineLevel="1" x14ac:dyDescent="0.25">
      <c r="B12" s="24"/>
      <c r="C12" s="292"/>
      <c r="D12" s="293"/>
      <c r="E12" s="293"/>
      <c r="F12" s="294"/>
      <c r="G12" s="25"/>
      <c r="H12" s="288" t="s">
        <v>89</v>
      </c>
      <c r="I12" s="289"/>
      <c r="J12" s="25"/>
      <c r="K12" s="295"/>
      <c r="L12" s="298"/>
      <c r="M12" s="291"/>
      <c r="N12" s="26"/>
      <c r="P12" s="50"/>
      <c r="Q12" s="53"/>
      <c r="R12" s="54" t="s">
        <v>52</v>
      </c>
      <c r="S12" s="54" t="s">
        <v>53</v>
      </c>
      <c r="T12" s="54" t="s">
        <v>54</v>
      </c>
      <c r="U12" s="54" t="s">
        <v>55</v>
      </c>
      <c r="V12" s="54" t="s">
        <v>56</v>
      </c>
      <c r="W12" s="54" t="s">
        <v>57</v>
      </c>
      <c r="X12" s="55" t="s">
        <v>58</v>
      </c>
      <c r="Y12" s="54" t="s">
        <v>59</v>
      </c>
      <c r="Z12" s="54" t="s">
        <v>140</v>
      </c>
      <c r="AA12" s="95" t="s">
        <v>141</v>
      </c>
      <c r="AB12" s="54" t="s">
        <v>60</v>
      </c>
      <c r="AC12" s="54" t="s">
        <v>142</v>
      </c>
      <c r="AD12" s="54" t="s">
        <v>143</v>
      </c>
      <c r="AE12" s="54" t="s">
        <v>144</v>
      </c>
      <c r="AF12" s="61"/>
    </row>
    <row r="13" spans="1:32" outlineLevel="1" x14ac:dyDescent="0.2">
      <c r="B13" s="24"/>
      <c r="C13" s="10" t="s">
        <v>23</v>
      </c>
      <c r="D13" s="25"/>
      <c r="E13" s="25"/>
      <c r="F13" s="25"/>
      <c r="G13" s="25"/>
      <c r="H13" s="10" t="s">
        <v>93</v>
      </c>
      <c r="I13" s="10"/>
      <c r="J13" s="25"/>
      <c r="K13" s="10" t="s">
        <v>24</v>
      </c>
      <c r="L13" s="10"/>
      <c r="M13" s="10"/>
      <c r="N13" s="26"/>
      <c r="P13" s="50"/>
      <c r="Q13" s="65" t="s">
        <v>145</v>
      </c>
      <c r="R13" s="65" t="s">
        <v>167</v>
      </c>
      <c r="S13" s="65" t="s">
        <v>168</v>
      </c>
      <c r="T13" s="65" t="s">
        <v>169</v>
      </c>
      <c r="U13" s="65" t="s">
        <v>170</v>
      </c>
      <c r="V13" s="65" t="s">
        <v>171</v>
      </c>
      <c r="W13" s="65" t="s">
        <v>172</v>
      </c>
      <c r="X13" s="65" t="s">
        <v>173</v>
      </c>
      <c r="Y13" s="65" t="s">
        <v>174</v>
      </c>
      <c r="Z13" s="65" t="s">
        <v>175</v>
      </c>
      <c r="AA13" s="65" t="s">
        <v>176</v>
      </c>
      <c r="AB13" s="65" t="s">
        <v>177</v>
      </c>
      <c r="AC13" s="65" t="s">
        <v>178</v>
      </c>
      <c r="AD13" s="65" t="s">
        <v>179</v>
      </c>
      <c r="AE13" s="65"/>
      <c r="AF13" s="61"/>
    </row>
    <row r="14" spans="1:32" s="4" customFormat="1" outlineLevel="1" x14ac:dyDescent="0.2">
      <c r="B14" s="24"/>
      <c r="C14" s="10"/>
      <c r="D14" s="25"/>
      <c r="E14" s="25"/>
      <c r="F14" s="25"/>
      <c r="G14" s="25"/>
      <c r="H14" s="10"/>
      <c r="I14" s="10"/>
      <c r="J14" s="25"/>
      <c r="K14" s="10"/>
      <c r="L14" s="10"/>
      <c r="M14" s="10"/>
      <c r="N14" s="26"/>
      <c r="P14" s="50"/>
      <c r="Q14" s="65" t="s">
        <v>146</v>
      </c>
      <c r="R14" s="98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61"/>
    </row>
    <row r="15" spans="1:32" s="4" customFormat="1" ht="11.25" customHeight="1" outlineLevel="1" x14ac:dyDescent="0.2">
      <c r="B15" s="24"/>
      <c r="C15" s="27" t="s">
        <v>158</v>
      </c>
      <c r="D15" s="108" t="s">
        <v>159</v>
      </c>
      <c r="E15" s="13" t="s">
        <v>160</v>
      </c>
      <c r="F15" s="105"/>
      <c r="G15" s="109"/>
      <c r="H15" s="10"/>
      <c r="I15" s="25"/>
      <c r="J15" s="25"/>
      <c r="K15" s="27" t="s">
        <v>161</v>
      </c>
      <c r="L15" s="10" t="s">
        <v>162</v>
      </c>
      <c r="M15" s="13"/>
      <c r="N15" s="26"/>
      <c r="P15" s="50"/>
      <c r="Q15" s="66" t="s">
        <v>147</v>
      </c>
      <c r="R15" s="96" t="s">
        <v>148</v>
      </c>
      <c r="S15" s="96" t="s">
        <v>148</v>
      </c>
      <c r="T15" s="96" t="s">
        <v>148</v>
      </c>
      <c r="U15" s="96" t="s">
        <v>148</v>
      </c>
      <c r="V15" s="96" t="s">
        <v>148</v>
      </c>
      <c r="W15" s="96" t="s">
        <v>148</v>
      </c>
      <c r="X15" s="96" t="s">
        <v>148</v>
      </c>
      <c r="Y15" s="96" t="s">
        <v>148</v>
      </c>
      <c r="Z15" s="96" t="s">
        <v>148</v>
      </c>
      <c r="AA15" s="96" t="s">
        <v>148</v>
      </c>
      <c r="AB15" s="96" t="s">
        <v>148</v>
      </c>
      <c r="AC15" s="96" t="s">
        <v>148</v>
      </c>
      <c r="AD15" s="96" t="s">
        <v>148</v>
      </c>
      <c r="AE15" s="96" t="s">
        <v>148</v>
      </c>
      <c r="AF15" s="61"/>
    </row>
    <row r="16" spans="1:32" s="4" customFormat="1" outlineLevel="1" x14ac:dyDescent="0.2">
      <c r="B16" s="24"/>
      <c r="C16" s="27" t="s">
        <v>163</v>
      </c>
      <c r="D16" s="10" t="s">
        <v>164</v>
      </c>
      <c r="E16" s="105"/>
      <c r="F16" s="105"/>
      <c r="G16" s="25"/>
      <c r="H16" s="10"/>
      <c r="I16" s="25"/>
      <c r="J16" s="25"/>
      <c r="K16" s="25"/>
      <c r="L16" s="10" t="s">
        <v>165</v>
      </c>
      <c r="M16" s="110"/>
      <c r="N16" s="26"/>
      <c r="P16" s="50"/>
      <c r="Q16" s="66" t="s">
        <v>83</v>
      </c>
      <c r="R16" s="65" t="s">
        <v>134</v>
      </c>
      <c r="S16" s="65" t="s">
        <v>134</v>
      </c>
      <c r="T16" s="65" t="s">
        <v>134</v>
      </c>
      <c r="U16" s="65" t="s">
        <v>134</v>
      </c>
      <c r="V16" s="65" t="s">
        <v>134</v>
      </c>
      <c r="W16" s="65" t="s">
        <v>134</v>
      </c>
      <c r="X16" s="65" t="s">
        <v>134</v>
      </c>
      <c r="Y16" s="65" t="s">
        <v>134</v>
      </c>
      <c r="Z16" s="65" t="s">
        <v>134</v>
      </c>
      <c r="AA16" s="65" t="s">
        <v>134</v>
      </c>
      <c r="AB16" s="65" t="s">
        <v>134</v>
      </c>
      <c r="AC16" s="65" t="s">
        <v>134</v>
      </c>
      <c r="AD16" s="65" t="s">
        <v>134</v>
      </c>
      <c r="AE16" s="65" t="s">
        <v>134</v>
      </c>
      <c r="AF16" s="61"/>
    </row>
    <row r="17" spans="2:32" s="4" customFormat="1" outlineLevel="1" x14ac:dyDescent="0.2">
      <c r="B17" s="24"/>
      <c r="C17" s="25"/>
      <c r="D17" s="10"/>
      <c r="E17" s="105"/>
      <c r="F17" s="105"/>
      <c r="G17" s="25"/>
      <c r="H17" s="25"/>
      <c r="I17" s="25"/>
      <c r="J17" s="25"/>
      <c r="K17" s="25"/>
      <c r="L17" s="25"/>
      <c r="M17" s="25"/>
      <c r="N17" s="26"/>
      <c r="P17" s="50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61"/>
    </row>
    <row r="18" spans="2:32" s="4" customFormat="1" outlineLevel="1" x14ac:dyDescent="0.2">
      <c r="B18" s="28"/>
      <c r="C18" s="111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30"/>
      <c r="P18" s="56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62"/>
    </row>
    <row r="19" spans="2:32" s="12" customFormat="1" outlineLevel="1" x14ac:dyDescent="0.2">
      <c r="D19" s="18"/>
      <c r="E19" s="17"/>
      <c r="F19" s="17"/>
      <c r="H19" s="17"/>
      <c r="Q19" s="15"/>
    </row>
    <row r="20" spans="2:32" s="12" customFormat="1" ht="17.25" customHeight="1" outlineLevel="1" x14ac:dyDescent="0.2">
      <c r="B20" s="21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3"/>
      <c r="P20" s="68"/>
      <c r="Q20" s="101" t="s">
        <v>154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60"/>
    </row>
    <row r="21" spans="2:32" s="4" customFormat="1" ht="18" customHeight="1" outlineLevel="1" x14ac:dyDescent="0.25">
      <c r="B21" s="24"/>
      <c r="C21" s="104" t="s">
        <v>167</v>
      </c>
      <c r="D21" s="10"/>
      <c r="E21" s="105"/>
      <c r="F21" s="105"/>
      <c r="G21" s="105"/>
      <c r="H21" s="105"/>
      <c r="I21" s="25"/>
      <c r="J21" s="25"/>
      <c r="K21" s="64" t="s">
        <v>122</v>
      </c>
      <c r="L21" s="25"/>
      <c r="M21" s="25"/>
      <c r="N21" s="26"/>
      <c r="O21" s="12"/>
      <c r="P21" s="50"/>
      <c r="Q21" s="282" t="s">
        <v>155</v>
      </c>
      <c r="R21" s="282"/>
      <c r="S21" s="282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61"/>
    </row>
    <row r="22" spans="2:32" s="4" customFormat="1" ht="18.75" customHeight="1" outlineLevel="1" x14ac:dyDescent="0.2">
      <c r="B22" s="24"/>
      <c r="C22" s="70" t="s">
        <v>166</v>
      </c>
      <c r="D22" s="10"/>
      <c r="E22" s="105"/>
      <c r="F22" s="105"/>
      <c r="G22" s="105"/>
      <c r="H22" s="105"/>
      <c r="I22" s="25"/>
      <c r="J22" s="25"/>
      <c r="K22" s="70" t="s">
        <v>157</v>
      </c>
      <c r="L22" s="25"/>
      <c r="M22" s="25"/>
      <c r="N22" s="26"/>
      <c r="O22" s="12"/>
      <c r="P22" s="50"/>
      <c r="Q22" s="282"/>
      <c r="R22" s="282"/>
      <c r="S22" s="282"/>
      <c r="T22" s="51"/>
      <c r="U22" s="102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61"/>
    </row>
    <row r="23" spans="2:32" s="4" customFormat="1" outlineLevel="1" x14ac:dyDescent="0.2">
      <c r="B23" s="28"/>
      <c r="C23" s="48"/>
      <c r="D23" s="48"/>
      <c r="E23" s="106"/>
      <c r="F23" s="106"/>
      <c r="G23" s="106"/>
      <c r="H23" s="106"/>
      <c r="I23" s="29"/>
      <c r="J23" s="29"/>
      <c r="K23" s="48"/>
      <c r="L23" s="29"/>
      <c r="M23" s="29"/>
      <c r="N23" s="30"/>
      <c r="O23" s="12"/>
      <c r="P23" s="56"/>
      <c r="Q23" s="283"/>
      <c r="R23" s="283"/>
      <c r="S23" s="283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62"/>
    </row>
    <row r="24" spans="2:32" s="12" customFormat="1" outlineLevel="1" x14ac:dyDescent="0.2">
      <c r="D24" s="18"/>
      <c r="E24" s="107"/>
      <c r="F24" s="17"/>
      <c r="H24" s="17"/>
    </row>
    <row r="25" spans="2:32" s="12" customFormat="1" outlineLevel="1" x14ac:dyDescent="0.2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3"/>
      <c r="O25" s="4"/>
      <c r="P25" s="68"/>
      <c r="Q25" s="49"/>
      <c r="R25" s="49"/>
      <c r="S25" s="49"/>
      <c r="T25" s="49"/>
      <c r="U25" s="49"/>
      <c r="V25" s="49"/>
      <c r="W25" s="49"/>
      <c r="X25" s="103" t="s">
        <v>80</v>
      </c>
      <c r="Y25" s="49"/>
      <c r="Z25" s="49"/>
      <c r="AA25" s="49"/>
      <c r="AB25" s="49"/>
      <c r="AC25" s="49"/>
      <c r="AD25" s="49"/>
      <c r="AE25" s="49"/>
      <c r="AF25" s="60"/>
    </row>
    <row r="26" spans="2:32" s="4" customFormat="1" ht="12.75" customHeight="1" outlineLevel="1" x14ac:dyDescent="0.2">
      <c r="B26" s="24"/>
      <c r="C26" s="27" t="s">
        <v>61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6"/>
      <c r="P26" s="50"/>
      <c r="Q26" s="77" t="s">
        <v>84</v>
      </c>
      <c r="R26" s="69"/>
      <c r="S26" s="69"/>
      <c r="T26" s="69"/>
      <c r="U26" s="69"/>
      <c r="V26" s="69"/>
      <c r="W26" s="69"/>
      <c r="X26" s="69" t="s">
        <v>81</v>
      </c>
      <c r="Y26" s="69"/>
      <c r="Z26" s="69"/>
      <c r="AA26" s="69"/>
      <c r="AB26" s="69"/>
      <c r="AC26" s="69"/>
      <c r="AD26" s="69"/>
      <c r="AE26" s="69"/>
      <c r="AF26" s="61"/>
    </row>
    <row r="27" spans="2:32" s="4" customFormat="1" ht="12.75" customHeight="1" outlineLevel="1" x14ac:dyDescent="0.2">
      <c r="B27" s="24"/>
      <c r="C27" s="27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6"/>
      <c r="P27" s="50"/>
      <c r="Q27" s="281" t="s">
        <v>85</v>
      </c>
      <c r="R27" s="281"/>
      <c r="S27" s="281"/>
      <c r="T27" s="281"/>
      <c r="U27" s="281"/>
      <c r="V27" s="69"/>
      <c r="W27" s="69"/>
      <c r="X27" s="69" t="s">
        <v>82</v>
      </c>
      <c r="Y27" s="69"/>
      <c r="Z27" s="69"/>
      <c r="AA27" s="69"/>
      <c r="AB27" s="69"/>
      <c r="AC27" s="69"/>
      <c r="AD27" s="69"/>
      <c r="AE27" s="69"/>
      <c r="AF27" s="61"/>
    </row>
    <row r="28" spans="2:32" s="4" customFormat="1" ht="12.75" customHeight="1" outlineLevel="1" x14ac:dyDescent="0.2">
      <c r="B28" s="24"/>
      <c r="C28" s="27" t="s">
        <v>117</v>
      </c>
      <c r="D28" s="25"/>
      <c r="E28" s="25"/>
      <c r="F28" s="25"/>
      <c r="G28" s="10" t="s">
        <v>118</v>
      </c>
      <c r="H28" s="25"/>
      <c r="I28" s="25"/>
      <c r="J28" s="25"/>
      <c r="K28" s="25"/>
      <c r="L28" s="25"/>
      <c r="M28" s="25"/>
      <c r="N28" s="26"/>
      <c r="P28" s="50"/>
      <c r="Q28" s="281"/>
      <c r="R28" s="281"/>
      <c r="S28" s="281"/>
      <c r="T28" s="281"/>
      <c r="U28" s="281"/>
      <c r="V28" s="69"/>
      <c r="W28" s="69"/>
      <c r="X28" s="281" t="s">
        <v>156</v>
      </c>
      <c r="Y28" s="281"/>
      <c r="Z28" s="281"/>
      <c r="AA28" s="281"/>
      <c r="AB28" s="281"/>
      <c r="AC28" s="281"/>
      <c r="AD28" s="281"/>
      <c r="AE28" s="94"/>
      <c r="AF28" s="61"/>
    </row>
    <row r="29" spans="2:32" s="4" customFormat="1" ht="34.5" customHeight="1" outlineLevel="1" x14ac:dyDescent="0.25">
      <c r="B29" s="24"/>
      <c r="C29" s="286" t="s">
        <v>134</v>
      </c>
      <c r="D29" s="287"/>
      <c r="E29" s="25"/>
      <c r="F29" s="25"/>
      <c r="G29" s="286" t="str">
        <f>H12</f>
        <v>TMOAKZ01</v>
      </c>
      <c r="H29" s="287"/>
      <c r="I29" s="25"/>
      <c r="J29" s="25"/>
      <c r="K29" s="286">
        <v>102</v>
      </c>
      <c r="L29" s="287"/>
      <c r="M29" s="25"/>
      <c r="N29" s="26"/>
      <c r="O29" s="4" t="s">
        <v>62</v>
      </c>
      <c r="P29" s="50"/>
      <c r="Q29" s="282" t="s">
        <v>86</v>
      </c>
      <c r="R29" s="282"/>
      <c r="S29" s="282"/>
      <c r="T29" s="282"/>
      <c r="U29" s="282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61"/>
    </row>
    <row r="30" spans="2:32" s="4" customFormat="1" outlineLevel="1" x14ac:dyDescent="0.2">
      <c r="B30" s="24"/>
      <c r="C30" s="10" t="s">
        <v>92</v>
      </c>
      <c r="D30" s="25"/>
      <c r="E30" s="25"/>
      <c r="F30" s="25"/>
      <c r="G30" s="299" t="s">
        <v>90</v>
      </c>
      <c r="H30" s="299"/>
      <c r="I30" s="25"/>
      <c r="J30" s="25" t="s">
        <v>62</v>
      </c>
      <c r="K30" s="10" t="s">
        <v>48</v>
      </c>
      <c r="L30" s="25"/>
      <c r="M30" s="25"/>
      <c r="N30" s="26"/>
      <c r="P30" s="50"/>
      <c r="Q30" s="282"/>
      <c r="R30" s="282"/>
      <c r="S30" s="282"/>
      <c r="T30" s="282"/>
      <c r="U30" s="282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61"/>
    </row>
    <row r="31" spans="2:32" s="4" customFormat="1" outlineLevel="1" x14ac:dyDescent="0.2">
      <c r="B31" s="28"/>
      <c r="C31" s="76" t="s">
        <v>87</v>
      </c>
      <c r="D31" s="29"/>
      <c r="E31" s="29"/>
      <c r="F31" s="29"/>
      <c r="G31" s="48" t="s">
        <v>88</v>
      </c>
      <c r="H31" s="29"/>
      <c r="I31" s="29"/>
      <c r="J31" s="29"/>
      <c r="K31" s="29"/>
      <c r="L31" s="29"/>
      <c r="M31" s="29"/>
      <c r="N31" s="30"/>
      <c r="P31" s="56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62"/>
    </row>
    <row r="32" spans="2:32" x14ac:dyDescent="0.2">
      <c r="O32" s="4"/>
    </row>
    <row r="33" spans="2:15" ht="15.75" x14ac:dyDescent="0.25">
      <c r="B33" s="16" t="s">
        <v>64</v>
      </c>
      <c r="O33" s="4"/>
    </row>
    <row r="34" spans="2:15" s="4" customFormat="1" ht="22.5" customHeight="1" outlineLevel="1" thickBot="1" x14ac:dyDescent="0.25">
      <c r="B34" s="21"/>
      <c r="C34" s="67" t="s">
        <v>71</v>
      </c>
      <c r="D34" s="22"/>
      <c r="E34" s="22"/>
      <c r="F34" s="22"/>
      <c r="G34" s="67" t="s">
        <v>72</v>
      </c>
      <c r="H34" s="67"/>
      <c r="I34" s="22"/>
      <c r="J34" s="22"/>
      <c r="K34" s="22"/>
      <c r="L34" s="22"/>
      <c r="M34" s="22"/>
      <c r="N34" s="23"/>
    </row>
    <row r="35" spans="2:15" s="4" customFormat="1" ht="31.5" customHeight="1" outlineLevel="1" thickBot="1" x14ac:dyDescent="0.3">
      <c r="B35" s="24"/>
      <c r="C35" s="264"/>
      <c r="D35" s="265"/>
      <c r="E35" s="266"/>
      <c r="F35" s="25"/>
      <c r="G35" s="264"/>
      <c r="H35" s="266"/>
      <c r="I35" s="25"/>
      <c r="J35" s="25"/>
      <c r="K35" s="25"/>
      <c r="L35" s="25"/>
      <c r="M35" s="25"/>
      <c r="N35" s="26"/>
    </row>
    <row r="36" spans="2:15" s="4" customFormat="1" outlineLevel="1" x14ac:dyDescent="0.2">
      <c r="B36" s="24"/>
      <c r="C36" s="10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6"/>
    </row>
    <row r="37" spans="2:15" s="4" customFormat="1" outlineLevel="1" x14ac:dyDescent="0.2">
      <c r="B37" s="24"/>
      <c r="C37" s="10" t="s">
        <v>65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6"/>
    </row>
    <row r="38" spans="2:15" ht="39.75" customHeight="1" outlineLevel="1" x14ac:dyDescent="0.2">
      <c r="B38" s="24"/>
      <c r="C38" s="271"/>
      <c r="D38" s="272"/>
      <c r="E38" s="272"/>
      <c r="F38" s="272"/>
      <c r="G38" s="272"/>
      <c r="H38" s="272"/>
      <c r="I38" s="272"/>
      <c r="J38" s="272"/>
      <c r="K38" s="272"/>
      <c r="L38" s="272"/>
      <c r="M38" s="273"/>
      <c r="N38" s="26"/>
    </row>
    <row r="39" spans="2:15" ht="21" customHeight="1" outlineLevel="1" x14ac:dyDescent="0.2">
      <c r="B39" s="24"/>
      <c r="C39" s="10" t="s">
        <v>66</v>
      </c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6"/>
    </row>
    <row r="40" spans="2:15" ht="33" customHeight="1" outlineLevel="1" x14ac:dyDescent="0.2">
      <c r="B40" s="24"/>
      <c r="C40" s="271"/>
      <c r="D40" s="272"/>
      <c r="E40" s="272"/>
      <c r="F40" s="272"/>
      <c r="G40" s="272"/>
      <c r="H40" s="272"/>
      <c r="I40" s="272"/>
      <c r="J40" s="272"/>
      <c r="K40" s="272"/>
      <c r="L40" s="272"/>
      <c r="M40" s="273"/>
      <c r="N40" s="26"/>
    </row>
    <row r="41" spans="2:15" outlineLevel="1" x14ac:dyDescent="0.2">
      <c r="B41" s="24"/>
      <c r="C41" s="10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6"/>
    </row>
    <row r="42" spans="2:15" s="4" customFormat="1" ht="12.75" customHeight="1" outlineLevel="1" x14ac:dyDescent="0.2">
      <c r="B42" s="24"/>
      <c r="C42" s="10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6"/>
    </row>
    <row r="43" spans="2:15" s="4" customFormat="1" outlineLevel="1" x14ac:dyDescent="0.2">
      <c r="B43" s="24"/>
      <c r="C43" s="20" t="s">
        <v>25</v>
      </c>
      <c r="D43" s="267" t="s">
        <v>21</v>
      </c>
      <c r="E43" s="268"/>
      <c r="F43" s="267" t="s">
        <v>26</v>
      </c>
      <c r="G43" s="268"/>
      <c r="H43" s="267" t="s">
        <v>27</v>
      </c>
      <c r="I43" s="274"/>
      <c r="J43" s="274"/>
      <c r="K43" s="274"/>
      <c r="L43" s="274"/>
      <c r="M43" s="268"/>
      <c r="N43" s="26"/>
    </row>
    <row r="44" spans="2:15" s="4" customFormat="1" outlineLevel="1" x14ac:dyDescent="0.2">
      <c r="B44" s="24"/>
      <c r="C44" s="13" t="s">
        <v>319</v>
      </c>
      <c r="D44" s="269"/>
      <c r="E44" s="270"/>
      <c r="F44" s="275"/>
      <c r="G44" s="277"/>
      <c r="H44" s="275"/>
      <c r="I44" s="276"/>
      <c r="J44" s="276"/>
      <c r="K44" s="276"/>
      <c r="L44" s="276"/>
      <c r="M44" s="277"/>
      <c r="N44" s="26"/>
    </row>
    <row r="45" spans="2:15" s="4" customFormat="1" outlineLevel="1" x14ac:dyDescent="0.2">
      <c r="B45" s="24"/>
      <c r="C45" s="13"/>
      <c r="D45" s="269"/>
      <c r="E45" s="270"/>
      <c r="F45" s="275"/>
      <c r="G45" s="277"/>
      <c r="H45" s="278"/>
      <c r="I45" s="279"/>
      <c r="J45" s="279"/>
      <c r="K45" s="279"/>
      <c r="L45" s="279"/>
      <c r="M45" s="280"/>
      <c r="N45" s="26"/>
    </row>
    <row r="46" spans="2:15" s="4" customFormat="1" outlineLevel="1" x14ac:dyDescent="0.2">
      <c r="B46" s="24"/>
      <c r="C46" s="13"/>
      <c r="D46" s="269"/>
      <c r="E46" s="270"/>
      <c r="F46" s="275"/>
      <c r="G46" s="277"/>
      <c r="H46" s="278"/>
      <c r="I46" s="279"/>
      <c r="J46" s="279"/>
      <c r="K46" s="279"/>
      <c r="L46" s="279"/>
      <c r="M46" s="280"/>
      <c r="N46" s="26"/>
    </row>
    <row r="47" spans="2:15" outlineLevel="1" x14ac:dyDescent="0.2">
      <c r="B47" s="28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30"/>
    </row>
    <row r="49" spans="2:14" s="4" customFormat="1" x14ac:dyDescent="0.2"/>
    <row r="50" spans="2:14" ht="15.75" x14ac:dyDescent="0.25">
      <c r="B50" s="16" t="s">
        <v>68</v>
      </c>
      <c r="C50" s="4"/>
      <c r="D50" s="4"/>
      <c r="F50" s="4"/>
      <c r="G50" s="4"/>
      <c r="H50" s="4"/>
      <c r="J50" s="4"/>
      <c r="K50" s="4"/>
      <c r="L50" s="4"/>
      <c r="N50" s="4"/>
    </row>
    <row r="51" spans="2:14" outlineLevel="1" x14ac:dyDescent="0.2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3"/>
    </row>
    <row r="52" spans="2:14" s="4" customFormat="1" ht="10.5" customHeight="1" outlineLevel="1" x14ac:dyDescent="0.2">
      <c r="B52" s="24"/>
      <c r="C52" s="27"/>
      <c r="D52" s="25"/>
      <c r="E52" s="25"/>
      <c r="F52" s="25"/>
      <c r="G52" s="25"/>
      <c r="H52" s="25"/>
      <c r="I52" s="27"/>
      <c r="J52" s="25"/>
      <c r="K52" s="25"/>
      <c r="L52" s="25"/>
      <c r="M52" s="25"/>
      <c r="N52" s="26"/>
    </row>
    <row r="53" spans="2:14" ht="12.75" customHeight="1" outlineLevel="1" x14ac:dyDescent="0.2">
      <c r="B53" s="24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6"/>
    </row>
    <row r="54" spans="2:14" ht="20.100000000000001" customHeight="1" outlineLevel="1" x14ac:dyDescent="0.2"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6"/>
    </row>
    <row r="55" spans="2:14" s="4" customFormat="1" ht="20.100000000000001" customHeight="1" outlineLevel="1" x14ac:dyDescent="0.2"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6"/>
    </row>
    <row r="56" spans="2:14" s="4" customFormat="1" ht="20.100000000000001" customHeight="1" outlineLevel="1" x14ac:dyDescent="0.2"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6"/>
    </row>
    <row r="57" spans="2:14" s="4" customFormat="1" ht="20.100000000000001" customHeight="1" outlineLevel="1" x14ac:dyDescent="0.2"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6"/>
    </row>
    <row r="58" spans="2:14" s="4" customFormat="1" ht="15.75" customHeight="1" outlineLevel="1" x14ac:dyDescent="0.2">
      <c r="B58" s="24"/>
      <c r="C58" s="25"/>
      <c r="D58" s="25"/>
      <c r="E58" s="25"/>
      <c r="F58" s="25"/>
      <c r="G58" s="25"/>
      <c r="H58" s="10"/>
      <c r="I58" s="25"/>
      <c r="J58" s="25"/>
      <c r="K58" s="25"/>
      <c r="L58" s="25"/>
      <c r="M58" s="25"/>
      <c r="N58" s="26"/>
    </row>
    <row r="59" spans="2:14" s="6" customFormat="1" ht="24" customHeight="1" outlineLevel="1" x14ac:dyDescent="0.2">
      <c r="B59" s="24"/>
      <c r="C59" s="10"/>
      <c r="D59" s="25"/>
      <c r="E59" s="25"/>
      <c r="F59" s="25"/>
      <c r="G59" s="25"/>
      <c r="H59" s="10"/>
      <c r="I59" s="25"/>
      <c r="J59" s="25"/>
      <c r="K59" s="25"/>
      <c r="L59" s="25"/>
      <c r="M59" s="25"/>
      <c r="N59" s="26"/>
    </row>
    <row r="60" spans="2:14" s="4" customFormat="1" ht="20.100000000000001" customHeight="1" outlineLevel="1" x14ac:dyDescent="0.2"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6"/>
    </row>
    <row r="61" spans="2:14" s="4" customFormat="1" ht="19.5" customHeight="1" outlineLevel="1" x14ac:dyDescent="0.2"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6"/>
    </row>
    <row r="62" spans="2:14" s="4" customFormat="1" ht="19.5" customHeight="1" outlineLevel="1" x14ac:dyDescent="0.2">
      <c r="B62" s="24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6"/>
    </row>
    <row r="63" spans="2:14" s="4" customFormat="1" ht="19.5" customHeight="1" outlineLevel="1" x14ac:dyDescent="0.2">
      <c r="B63" s="24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6"/>
    </row>
    <row r="64" spans="2:14" s="4" customFormat="1" ht="19.5" customHeight="1" outlineLevel="1" x14ac:dyDescent="0.2">
      <c r="B64" s="24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6"/>
    </row>
    <row r="65" spans="2:14" s="4" customFormat="1" ht="31.5" customHeight="1" outlineLevel="1" x14ac:dyDescent="0.2">
      <c r="B65" s="24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6"/>
    </row>
    <row r="66" spans="2:14" s="4" customFormat="1" ht="31.5" customHeight="1" outlineLevel="1" x14ac:dyDescent="0.2">
      <c r="B66" s="24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6"/>
    </row>
    <row r="67" spans="2:14" s="4" customFormat="1" ht="19.5" customHeight="1" outlineLevel="1" x14ac:dyDescent="0.2">
      <c r="B67" s="24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6"/>
    </row>
    <row r="68" spans="2:14" s="4" customFormat="1" ht="19.5" customHeight="1" outlineLevel="1" x14ac:dyDescent="0.2">
      <c r="B68" s="24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6"/>
    </row>
    <row r="69" spans="2:14" s="4" customFormat="1" ht="19.5" customHeight="1" outlineLevel="1" x14ac:dyDescent="0.2">
      <c r="B69" s="24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6"/>
    </row>
    <row r="70" spans="2:14" s="4" customFormat="1" ht="19.5" customHeight="1" outlineLevel="1" x14ac:dyDescent="0.2">
      <c r="B70" s="24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6"/>
    </row>
    <row r="71" spans="2:14" outlineLevel="1" x14ac:dyDescent="0.2">
      <c r="B71" s="28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30"/>
    </row>
    <row r="72" spans="2:14" ht="19.5" customHeight="1" x14ac:dyDescent="0.2">
      <c r="B72" s="5"/>
    </row>
  </sheetData>
  <customSheetViews>
    <customSheetView guid="{2E70E708-B73C-4323-9253-4875EF82DB2B}" scale="90" showGridLines="0" hiddenRows="1">
      <pane ySplit="2" topLeftCell="A3" activePane="bottomLeft" state="frozen"/>
      <selection pane="bottomLeft" activeCell="R12" sqref="R12"/>
    </customSheetView>
  </customSheetViews>
  <mergeCells count="32">
    <mergeCell ref="X28:AD28"/>
    <mergeCell ref="Q21:S23"/>
    <mergeCell ref="C2:O2"/>
    <mergeCell ref="P8:W8"/>
    <mergeCell ref="C29:D29"/>
    <mergeCell ref="G29:H29"/>
    <mergeCell ref="K29:L29"/>
    <mergeCell ref="H12:I12"/>
    <mergeCell ref="F8:G8"/>
    <mergeCell ref="C12:F12"/>
    <mergeCell ref="L8:M8"/>
    <mergeCell ref="C10:M10"/>
    <mergeCell ref="K12:M12"/>
    <mergeCell ref="Q27:U28"/>
    <mergeCell ref="Q29:U30"/>
    <mergeCell ref="G30:H30"/>
    <mergeCell ref="D46:E46"/>
    <mergeCell ref="C38:M38"/>
    <mergeCell ref="C40:M40"/>
    <mergeCell ref="H43:M43"/>
    <mergeCell ref="H44:M44"/>
    <mergeCell ref="H45:M45"/>
    <mergeCell ref="H46:M46"/>
    <mergeCell ref="F43:G43"/>
    <mergeCell ref="F44:G44"/>
    <mergeCell ref="F45:G45"/>
    <mergeCell ref="F46:G46"/>
    <mergeCell ref="C35:E35"/>
    <mergeCell ref="G35:H35"/>
    <mergeCell ref="D43:E43"/>
    <mergeCell ref="D44:E44"/>
    <mergeCell ref="D45:E45"/>
  </mergeCells>
  <conditionalFormatting sqref="P12:P16">
    <cfRule type="iconSet" priority="4">
      <iconSet iconSet="3TrafficLights2">
        <cfvo type="percent" val="0"/>
        <cfvo type="percent" val="33"/>
        <cfvo type="percent" val="67"/>
      </iconSet>
    </cfRule>
  </conditionalFormatting>
  <conditionalFormatting sqref="O10">
    <cfRule type="iconSet" priority="2">
      <iconSet>
        <cfvo type="percent" val="0"/>
        <cfvo type="percent" val="33"/>
        <cfvo type="percent" val="67"/>
      </iconSet>
    </cfRule>
  </conditionalFormatting>
  <conditionalFormatting sqref="P10">
    <cfRule type="iconSet" priority="1">
      <iconSet>
        <cfvo type="percent" val="0"/>
        <cfvo type="percent" val="33"/>
        <cfvo type="percent" val="67"/>
      </iconSet>
    </cfRule>
  </conditionalFormatting>
  <dataValidations count="4">
    <dataValidation type="textLength" operator="equal" allowBlank="1" showInputMessage="1" showErrorMessage="1" error="The TSAP information consists of 8 digitis" sqref="G29:H29">
      <formula1>8</formula1>
    </dataValidation>
    <dataValidation type="textLength" operator="equal" allowBlank="1" showInputMessage="1" showErrorMessage="1" error="The IPS-L Destination consists of 8 digits" sqref="C21">
      <formula1>8</formula1>
    </dataValidation>
    <dataValidation type="textLength" operator="equal" allowBlank="1" showInputMessage="1" showErrorMessage="1" error="The PLC AKZ consists of 8 digits" sqref="H12">
      <formula1>8</formula1>
    </dataValidation>
    <dataValidation type="textLength" operator="equal" allowBlank="1" showInputMessage="1" showErrorMessage="1" error="Plant code consists of 2 digits" sqref="G21">
      <formula1>2</formula1>
    </dataValidation>
  </dataValidation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drawing r:id="rId2"/>
  <legacyDrawing r:id="rId3"/>
  <controls>
    <mc:AlternateContent xmlns:mc="http://schemas.openxmlformats.org/markup-compatibility/2006">
      <mc:Choice Requires="x14">
        <control shapeId="11283" r:id="rId4" name="WAS_MOVE">
          <controlPr defaultSize="0" autoLine="0" r:id="rId5">
            <anchor moveWithCells="1">
              <from>
                <xdr:col>1</xdr:col>
                <xdr:colOff>723900</xdr:colOff>
                <xdr:row>65</xdr:row>
                <xdr:rowOff>209550</xdr:rowOff>
              </from>
              <to>
                <xdr:col>4</xdr:col>
                <xdr:colOff>0</xdr:colOff>
                <xdr:row>66</xdr:row>
                <xdr:rowOff>95250</xdr:rowOff>
              </to>
            </anchor>
          </controlPr>
        </control>
      </mc:Choice>
      <mc:Fallback>
        <control shapeId="11283" r:id="rId4" name="WAS_MOVE"/>
      </mc:Fallback>
    </mc:AlternateContent>
    <mc:AlternateContent xmlns:mc="http://schemas.openxmlformats.org/markup-compatibility/2006">
      <mc:Choice Requires="x14">
        <control shapeId="11282" r:id="rId6" name="PING_PLC">
          <controlPr defaultSize="0" autoLine="0" r:id="rId7">
            <anchor moveWithCells="1">
              <from>
                <xdr:col>7</xdr:col>
                <xdr:colOff>742950</xdr:colOff>
                <xdr:row>50</xdr:row>
                <xdr:rowOff>85725</xdr:rowOff>
              </from>
              <to>
                <xdr:col>10</xdr:col>
                <xdr:colOff>447675</xdr:colOff>
                <xdr:row>52</xdr:row>
                <xdr:rowOff>76200</xdr:rowOff>
              </to>
            </anchor>
          </controlPr>
        </control>
      </mc:Choice>
      <mc:Fallback>
        <control shapeId="11282" r:id="rId6" name="PING_PLC"/>
      </mc:Fallback>
    </mc:AlternateContent>
    <mc:AlternateContent xmlns:mc="http://schemas.openxmlformats.org/markup-compatibility/2006">
      <mc:Choice Requires="x14">
        <control shapeId="11279" r:id="rId8" name="CP_Communication">
          <controlPr defaultSize="0" autoLine="0" r:id="rId9">
            <anchor moveWithCells="1">
              <from>
                <xdr:col>3</xdr:col>
                <xdr:colOff>457200</xdr:colOff>
                <xdr:row>24</xdr:row>
                <xdr:rowOff>123825</xdr:rowOff>
              </from>
              <to>
                <xdr:col>6</xdr:col>
                <xdr:colOff>609600</xdr:colOff>
                <xdr:row>26</xdr:row>
                <xdr:rowOff>66675</xdr:rowOff>
              </to>
            </anchor>
          </controlPr>
        </control>
      </mc:Choice>
      <mc:Fallback>
        <control shapeId="11279" r:id="rId8" name="CP_Communication"/>
      </mc:Fallback>
    </mc:AlternateContent>
    <mc:AlternateContent xmlns:mc="http://schemas.openxmlformats.org/markup-compatibility/2006">
      <mc:Choice Requires="x14">
        <control shapeId="11273" r:id="rId10" name="ID_PUSH1">
          <controlPr defaultSize="0" autoLine="0" r:id="rId11">
            <anchor moveWithCells="1">
              <from>
                <xdr:col>1</xdr:col>
                <xdr:colOff>676275</xdr:colOff>
                <xdr:row>50</xdr:row>
                <xdr:rowOff>104775</xdr:rowOff>
              </from>
              <to>
                <xdr:col>3</xdr:col>
                <xdr:colOff>504825</xdr:colOff>
                <xdr:row>52</xdr:row>
                <xdr:rowOff>76200</xdr:rowOff>
              </to>
            </anchor>
          </controlPr>
        </control>
      </mc:Choice>
      <mc:Fallback>
        <control shapeId="11273" r:id="rId10" name="ID_PUSH1"/>
      </mc:Fallback>
    </mc:AlternateContent>
    <mc:AlternateContent xmlns:mc="http://schemas.openxmlformats.org/markup-compatibility/2006">
      <mc:Choice Requires="x14">
        <control shapeId="11274" r:id="rId12" name="WASIDENT">
          <controlPr defaultSize="0" autoLine="0" r:id="rId13">
            <anchor moveWithCells="1">
              <from>
                <xdr:col>1</xdr:col>
                <xdr:colOff>695325</xdr:colOff>
                <xdr:row>61</xdr:row>
                <xdr:rowOff>123825</xdr:rowOff>
              </from>
              <to>
                <xdr:col>3</xdr:col>
                <xdr:colOff>552450</xdr:colOff>
                <xdr:row>62</xdr:row>
                <xdr:rowOff>123825</xdr:rowOff>
              </to>
            </anchor>
          </controlPr>
        </control>
      </mc:Choice>
      <mc:Fallback>
        <control shapeId="11274" r:id="rId12" name="WASIDENT"/>
      </mc:Fallback>
    </mc:AlternateContent>
    <mc:AlternateContent xmlns:mc="http://schemas.openxmlformats.org/markup-compatibility/2006">
      <mc:Choice Requires="x14">
        <control shapeId="11281" r:id="rId14" name="ID_REQU2">
          <controlPr defaultSize="0" autoLine="0" autoPict="0" r:id="rId15">
            <anchor moveWithCells="1">
              <from>
                <xdr:col>1</xdr:col>
                <xdr:colOff>676275</xdr:colOff>
                <xdr:row>56</xdr:row>
                <xdr:rowOff>142875</xdr:rowOff>
              </from>
              <to>
                <xdr:col>3</xdr:col>
                <xdr:colOff>542925</xdr:colOff>
                <xdr:row>57</xdr:row>
                <xdr:rowOff>142875</xdr:rowOff>
              </to>
            </anchor>
          </controlPr>
        </control>
      </mc:Choice>
      <mc:Fallback>
        <control shapeId="11281" r:id="rId14" name="ID_REQU2"/>
      </mc:Fallback>
    </mc:AlternateContent>
    <mc:AlternateContent xmlns:mc="http://schemas.openxmlformats.org/markup-compatibility/2006">
      <mc:Choice Requires="x14">
        <control shapeId="11296" r:id="rId16" name="PING_WAS">
          <controlPr defaultSize="0" autoLine="0" r:id="rId17">
            <anchor moveWithCells="1">
              <from>
                <xdr:col>8</xdr:col>
                <xdr:colOff>9525</xdr:colOff>
                <xdr:row>56</xdr:row>
                <xdr:rowOff>123825</xdr:rowOff>
              </from>
              <to>
                <xdr:col>10</xdr:col>
                <xdr:colOff>476250</xdr:colOff>
                <xdr:row>57</xdr:row>
                <xdr:rowOff>161925</xdr:rowOff>
              </to>
            </anchor>
          </controlPr>
        </control>
      </mc:Choice>
      <mc:Fallback>
        <control shapeId="11296" r:id="rId16" name="PING_WA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J14"/>
  <sheetViews>
    <sheetView showGridLines="0" zoomScale="90" zoomScaleNormal="90" workbookViewId="0">
      <selection activeCell="K19" sqref="K19"/>
    </sheetView>
  </sheetViews>
  <sheetFormatPr baseColWidth="10" defaultRowHeight="12.75" x14ac:dyDescent="0.2"/>
  <cols>
    <col min="1" max="1" width="3.5703125" customWidth="1"/>
    <col min="2" max="2" width="13.85546875" customWidth="1"/>
    <col min="3" max="3" width="12.5703125" customWidth="1"/>
    <col min="4" max="4" width="17" customWidth="1"/>
    <col min="5" max="5" width="12.85546875" bestFit="1" customWidth="1"/>
    <col min="6" max="6" width="17.5703125" customWidth="1"/>
    <col min="7" max="7" width="52.85546875" bestFit="1" customWidth="1"/>
    <col min="8" max="8" width="59.85546875" style="4" hidden="1" customWidth="1"/>
  </cols>
  <sheetData>
    <row r="2" spans="2:10" ht="20.25" x14ac:dyDescent="0.3">
      <c r="B2" s="187" t="s">
        <v>286</v>
      </c>
    </row>
    <row r="4" spans="2:10" x14ac:dyDescent="0.2">
      <c r="B4" s="5" t="s">
        <v>250</v>
      </c>
      <c r="H4"/>
    </row>
    <row r="5" spans="2:10" ht="13.5" thickBot="1" x14ac:dyDescent="0.25"/>
    <row r="6" spans="2:10" ht="16.5" thickBot="1" x14ac:dyDescent="0.25">
      <c r="B6" s="1" t="s">
        <v>10</v>
      </c>
      <c r="C6" s="2" t="s">
        <v>11</v>
      </c>
      <c r="D6" s="3" t="s">
        <v>12</v>
      </c>
      <c r="E6" s="2" t="s">
        <v>13</v>
      </c>
      <c r="F6" s="2" t="s">
        <v>6</v>
      </c>
      <c r="G6" s="2" t="s">
        <v>14</v>
      </c>
      <c r="H6" s="129" t="s">
        <v>192</v>
      </c>
    </row>
    <row r="7" spans="2:10" ht="26.25" thickBot="1" x14ac:dyDescent="0.25">
      <c r="B7" s="155" t="s">
        <v>0</v>
      </c>
      <c r="C7" s="172">
        <v>8</v>
      </c>
      <c r="D7" s="169" t="s">
        <v>31</v>
      </c>
      <c r="E7" s="165" t="str">
        <f>Filled_by_requestor!C21</f>
        <v>WAS_0110</v>
      </c>
      <c r="F7" s="157" t="s">
        <v>16</v>
      </c>
      <c r="G7" s="91" t="s">
        <v>251</v>
      </c>
      <c r="H7" s="149" t="s">
        <v>287</v>
      </c>
    </row>
    <row r="8" spans="2:10" ht="26.25" customHeight="1" thickBot="1" x14ac:dyDescent="0.25">
      <c r="B8" s="42" t="s">
        <v>1</v>
      </c>
      <c r="C8" s="173">
        <v>8</v>
      </c>
      <c r="D8" s="121" t="s">
        <v>32</v>
      </c>
      <c r="E8" s="166" t="str">
        <f>Filled_by_requestor!H12</f>
        <v>TMOAKZ01</v>
      </c>
      <c r="F8" s="41" t="s">
        <v>16</v>
      </c>
      <c r="G8" s="158" t="s">
        <v>252</v>
      </c>
      <c r="H8" s="150" t="s">
        <v>288</v>
      </c>
      <c r="J8" s="4"/>
    </row>
    <row r="9" spans="2:10" ht="15.75" thickBot="1" x14ac:dyDescent="0.25">
      <c r="B9" s="42" t="s">
        <v>2</v>
      </c>
      <c r="C9" s="173">
        <v>8</v>
      </c>
      <c r="D9" s="170" t="s">
        <v>5</v>
      </c>
      <c r="E9" s="168" t="s">
        <v>247</v>
      </c>
      <c r="F9" s="90" t="s">
        <v>121</v>
      </c>
      <c r="G9" s="91" t="s">
        <v>15</v>
      </c>
      <c r="H9" s="130" t="s">
        <v>255</v>
      </c>
    </row>
    <row r="10" spans="2:10" ht="26.25" thickBot="1" x14ac:dyDescent="0.25">
      <c r="B10" s="42" t="s">
        <v>3</v>
      </c>
      <c r="C10" s="173">
        <v>4</v>
      </c>
      <c r="D10" s="176" t="s">
        <v>7</v>
      </c>
      <c r="E10" s="262" t="s">
        <v>294</v>
      </c>
      <c r="F10" s="34" t="s">
        <v>121</v>
      </c>
      <c r="G10" s="177" t="s">
        <v>253</v>
      </c>
      <c r="H10" s="130" t="s">
        <v>295</v>
      </c>
    </row>
    <row r="11" spans="2:10" s="4" customFormat="1" ht="51.75" thickBot="1" x14ac:dyDescent="0.25">
      <c r="B11" s="155" t="s">
        <v>296</v>
      </c>
      <c r="C11" s="172">
        <v>8</v>
      </c>
      <c r="D11" s="169" t="s">
        <v>152</v>
      </c>
      <c r="E11" s="156" t="s">
        <v>128</v>
      </c>
      <c r="F11" s="157" t="s">
        <v>121</v>
      </c>
      <c r="G11" s="91" t="s">
        <v>254</v>
      </c>
      <c r="H11" s="130" t="s">
        <v>290</v>
      </c>
    </row>
    <row r="12" spans="2:10" s="4" customFormat="1" ht="15.75" thickBot="1" x14ac:dyDescent="0.25">
      <c r="B12" s="42" t="s">
        <v>297</v>
      </c>
      <c r="C12" s="173">
        <v>2</v>
      </c>
      <c r="D12" s="121" t="s">
        <v>149</v>
      </c>
      <c r="E12" s="74" t="s">
        <v>122</v>
      </c>
      <c r="F12" s="41" t="s">
        <v>121</v>
      </c>
      <c r="G12" s="128" t="s">
        <v>262</v>
      </c>
      <c r="H12" s="130" t="s">
        <v>257</v>
      </c>
    </row>
    <row r="13" spans="2:10" s="4" customFormat="1" ht="26.25" thickBot="1" x14ac:dyDescent="0.25">
      <c r="B13" s="154" t="s">
        <v>298</v>
      </c>
      <c r="C13" s="174">
        <v>8</v>
      </c>
      <c r="D13" s="171" t="s">
        <v>153</v>
      </c>
      <c r="E13" s="167" t="s">
        <v>131</v>
      </c>
      <c r="F13" s="159" t="s">
        <v>121</v>
      </c>
      <c r="G13" s="160" t="s">
        <v>261</v>
      </c>
      <c r="H13" s="131" t="s">
        <v>258</v>
      </c>
    </row>
    <row r="14" spans="2:10" s="4" customFormat="1" ht="15.75" thickBot="1" x14ac:dyDescent="0.25">
      <c r="B14" s="204" t="s">
        <v>99</v>
      </c>
      <c r="C14" s="205">
        <v>4</v>
      </c>
      <c r="D14" s="206" t="s">
        <v>299</v>
      </c>
      <c r="E14" s="207" t="s">
        <v>115</v>
      </c>
      <c r="F14" s="208" t="s">
        <v>121</v>
      </c>
      <c r="G14" s="209" t="s">
        <v>300</v>
      </c>
      <c r="H14" s="131" t="s">
        <v>301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G30"/>
  <sheetViews>
    <sheetView showGridLines="0" zoomScale="80" zoomScaleNormal="80" workbookViewId="0">
      <selection activeCell="G51" sqref="G51"/>
    </sheetView>
  </sheetViews>
  <sheetFormatPr baseColWidth="10" defaultColWidth="11.42578125" defaultRowHeight="12.75" x14ac:dyDescent="0.2"/>
  <cols>
    <col min="1" max="1" width="3.5703125" style="4" customWidth="1"/>
    <col min="2" max="2" width="13.85546875" style="4" customWidth="1"/>
    <col min="3" max="3" width="12.5703125" style="4" customWidth="1"/>
    <col min="4" max="4" width="13.5703125" style="4" bestFit="1" customWidth="1"/>
    <col min="5" max="5" width="16.140625" style="4" customWidth="1"/>
    <col min="6" max="6" width="14.5703125" style="4" bestFit="1" customWidth="1"/>
    <col min="7" max="7" width="52.85546875" style="4" bestFit="1" customWidth="1"/>
    <col min="8" max="16384" width="11.42578125" style="4"/>
  </cols>
  <sheetData>
    <row r="2" spans="2:7" ht="20.25" x14ac:dyDescent="0.3">
      <c r="B2" s="7" t="s">
        <v>108</v>
      </c>
    </row>
    <row r="4" spans="2:7" x14ac:dyDescent="0.2">
      <c r="B4" s="5" t="s">
        <v>109</v>
      </c>
    </row>
    <row r="5" spans="2:7" ht="13.5" thickBot="1" x14ac:dyDescent="0.25"/>
    <row r="6" spans="2:7" ht="32.25" thickBot="1" x14ac:dyDescent="0.25">
      <c r="B6" s="1" t="s">
        <v>10</v>
      </c>
      <c r="C6" s="2" t="s">
        <v>11</v>
      </c>
      <c r="D6" s="3" t="s">
        <v>12</v>
      </c>
      <c r="E6" s="2" t="s">
        <v>13</v>
      </c>
      <c r="F6" s="2" t="s">
        <v>6</v>
      </c>
      <c r="G6" s="2" t="s">
        <v>14</v>
      </c>
    </row>
    <row r="7" spans="2:7" ht="26.25" thickBot="1" x14ac:dyDescent="0.25">
      <c r="B7" s="31" t="s">
        <v>0</v>
      </c>
      <c r="C7" s="32">
        <v>8</v>
      </c>
      <c r="D7" s="36" t="s">
        <v>31</v>
      </c>
      <c r="E7" s="72" t="str">
        <f>Filled_by_requestor!C21</f>
        <v>WAS_0110</v>
      </c>
      <c r="F7" s="37" t="s">
        <v>16</v>
      </c>
      <c r="G7" s="38" t="s">
        <v>95</v>
      </c>
    </row>
    <row r="8" spans="2:7" ht="26.25" customHeight="1" thickBot="1" x14ac:dyDescent="0.25">
      <c r="B8" s="33" t="s">
        <v>1</v>
      </c>
      <c r="C8" s="34">
        <v>8</v>
      </c>
      <c r="D8" s="39" t="s">
        <v>32</v>
      </c>
      <c r="E8" s="72" t="str">
        <f>Filled_by_requestor!H12</f>
        <v>TMOAKZ01</v>
      </c>
      <c r="F8" s="37" t="s">
        <v>16</v>
      </c>
      <c r="G8" s="40" t="s">
        <v>94</v>
      </c>
    </row>
    <row r="9" spans="2:7" ht="26.25" thickBot="1" x14ac:dyDescent="0.25">
      <c r="B9" s="33" t="s">
        <v>2</v>
      </c>
      <c r="C9" s="34">
        <v>8</v>
      </c>
      <c r="D9" s="39" t="s">
        <v>5</v>
      </c>
      <c r="E9" s="73" t="s">
        <v>39</v>
      </c>
      <c r="F9" s="37" t="s">
        <v>16</v>
      </c>
      <c r="G9" s="35" t="s">
        <v>15</v>
      </c>
    </row>
    <row r="10" spans="2:7" ht="26.25" thickBot="1" x14ac:dyDescent="0.25">
      <c r="B10" s="33" t="s">
        <v>3</v>
      </c>
      <c r="C10" s="34">
        <v>4</v>
      </c>
      <c r="D10" s="39" t="s">
        <v>7</v>
      </c>
      <c r="E10" s="73" t="s">
        <v>78</v>
      </c>
      <c r="F10" s="37" t="s">
        <v>16</v>
      </c>
      <c r="G10" s="35" t="s">
        <v>96</v>
      </c>
    </row>
    <row r="11" spans="2:7" ht="26.25" thickBot="1" x14ac:dyDescent="0.25">
      <c r="B11" s="33" t="s">
        <v>4</v>
      </c>
      <c r="C11" s="34">
        <v>4</v>
      </c>
      <c r="D11" s="39" t="s">
        <v>28</v>
      </c>
      <c r="E11" s="74" t="s">
        <v>112</v>
      </c>
      <c r="F11" s="41" t="s">
        <v>17</v>
      </c>
      <c r="G11" s="35" t="s">
        <v>76</v>
      </c>
    </row>
    <row r="12" spans="2:7" ht="26.25" thickBot="1" x14ac:dyDescent="0.25">
      <c r="B12" s="42" t="s">
        <v>33</v>
      </c>
      <c r="C12" s="34">
        <v>2</v>
      </c>
      <c r="D12" s="39" t="s">
        <v>149</v>
      </c>
      <c r="E12" s="72" t="s">
        <v>113</v>
      </c>
      <c r="F12" s="37" t="s">
        <v>16</v>
      </c>
      <c r="G12" s="35"/>
    </row>
    <row r="13" spans="2:7" ht="16.5" thickBot="1" x14ac:dyDescent="0.25">
      <c r="B13" s="42" t="s">
        <v>97</v>
      </c>
      <c r="C13" s="34">
        <v>8</v>
      </c>
      <c r="D13" s="39" t="s">
        <v>35</v>
      </c>
      <c r="E13" s="86" t="s">
        <v>114</v>
      </c>
      <c r="F13" s="41" t="s">
        <v>17</v>
      </c>
      <c r="G13" s="35"/>
    </row>
    <row r="14" spans="2:7" ht="16.5" thickBot="1" x14ac:dyDescent="0.25">
      <c r="B14" s="42" t="s">
        <v>98</v>
      </c>
      <c r="C14" s="34">
        <v>4</v>
      </c>
      <c r="D14" s="39" t="s">
        <v>150</v>
      </c>
      <c r="E14" s="86" t="s">
        <v>115</v>
      </c>
      <c r="F14" s="41" t="s">
        <v>17</v>
      </c>
      <c r="G14" s="35"/>
    </row>
    <row r="15" spans="2:7" ht="26.25" thickBot="1" x14ac:dyDescent="0.25">
      <c r="B15" s="42" t="s">
        <v>99</v>
      </c>
      <c r="C15" s="34">
        <v>4</v>
      </c>
      <c r="D15" s="39" t="s">
        <v>100</v>
      </c>
      <c r="E15" s="86" t="s">
        <v>115</v>
      </c>
      <c r="F15" s="37" t="s">
        <v>16</v>
      </c>
      <c r="G15" s="35"/>
    </row>
    <row r="16" spans="2:7" ht="26.25" thickBot="1" x14ac:dyDescent="0.25">
      <c r="B16" s="42" t="s">
        <v>101</v>
      </c>
      <c r="C16" s="34">
        <v>4</v>
      </c>
      <c r="D16" s="39" t="s">
        <v>151</v>
      </c>
      <c r="E16" s="86" t="s">
        <v>115</v>
      </c>
      <c r="F16" s="37" t="s">
        <v>16</v>
      </c>
      <c r="G16" s="35"/>
    </row>
    <row r="17" spans="2:7" ht="26.25" thickBot="1" x14ac:dyDescent="0.25">
      <c r="B17" s="43" t="s">
        <v>102</v>
      </c>
      <c r="C17" s="100">
        <v>6</v>
      </c>
      <c r="D17" s="79" t="s">
        <v>135</v>
      </c>
      <c r="E17" s="87" t="s">
        <v>139</v>
      </c>
      <c r="F17" s="81" t="s">
        <v>16</v>
      </c>
      <c r="G17" s="80"/>
    </row>
    <row r="21" spans="2:7" ht="20.25" x14ac:dyDescent="0.3">
      <c r="B21" s="7" t="s">
        <v>111</v>
      </c>
    </row>
    <row r="23" spans="2:7" x14ac:dyDescent="0.2">
      <c r="B23" s="5" t="s">
        <v>110</v>
      </c>
    </row>
    <row r="24" spans="2:7" ht="13.5" thickBot="1" x14ac:dyDescent="0.25"/>
    <row r="25" spans="2:7" ht="32.25" thickBot="1" x14ac:dyDescent="0.25">
      <c r="B25" s="1" t="s">
        <v>10</v>
      </c>
      <c r="C25" s="2" t="s">
        <v>11</v>
      </c>
      <c r="D25" s="3" t="s">
        <v>12</v>
      </c>
      <c r="E25" s="2" t="s">
        <v>13</v>
      </c>
      <c r="F25" s="2" t="s">
        <v>6</v>
      </c>
      <c r="G25" s="2" t="s">
        <v>14</v>
      </c>
    </row>
    <row r="26" spans="2:7" ht="26.25" thickBot="1" x14ac:dyDescent="0.25">
      <c r="B26" s="31" t="s">
        <v>0</v>
      </c>
      <c r="C26" s="32">
        <v>8</v>
      </c>
      <c r="D26" s="36" t="s">
        <v>31</v>
      </c>
      <c r="E26" s="72" t="str">
        <f>Filled_by_requestor!H12</f>
        <v>TMOAKZ01</v>
      </c>
      <c r="F26" s="37" t="s">
        <v>16</v>
      </c>
      <c r="G26" s="38" t="s">
        <v>18</v>
      </c>
    </row>
    <row r="27" spans="2:7" ht="26.25" thickBot="1" x14ac:dyDescent="0.25">
      <c r="B27" s="33" t="s">
        <v>1</v>
      </c>
      <c r="C27" s="34">
        <v>8</v>
      </c>
      <c r="D27" s="39" t="s">
        <v>32</v>
      </c>
      <c r="E27" s="72" t="str">
        <f>E7</f>
        <v>WAS_0110</v>
      </c>
      <c r="F27" s="37" t="s">
        <v>16</v>
      </c>
      <c r="G27" s="40" t="s">
        <v>91</v>
      </c>
    </row>
    <row r="28" spans="2:7" ht="26.25" thickBot="1" x14ac:dyDescent="0.25">
      <c r="B28" s="33" t="s">
        <v>2</v>
      </c>
      <c r="C28" s="34">
        <v>8</v>
      </c>
      <c r="D28" s="39" t="s">
        <v>5</v>
      </c>
      <c r="E28" s="73" t="s">
        <v>39</v>
      </c>
      <c r="F28" s="37" t="s">
        <v>16</v>
      </c>
      <c r="G28" s="35" t="s">
        <v>15</v>
      </c>
    </row>
    <row r="29" spans="2:7" ht="15.75" thickBot="1" x14ac:dyDescent="0.25">
      <c r="B29" s="33" t="s">
        <v>3</v>
      </c>
      <c r="C29" s="34">
        <v>4</v>
      </c>
      <c r="D29" s="39" t="s">
        <v>7</v>
      </c>
      <c r="E29" s="73" t="s">
        <v>103</v>
      </c>
      <c r="F29" s="37" t="s">
        <v>17</v>
      </c>
      <c r="G29" s="35" t="s">
        <v>104</v>
      </c>
    </row>
    <row r="30" spans="2:7" ht="15.75" thickBot="1" x14ac:dyDescent="0.25">
      <c r="B30" s="82" t="s">
        <v>4</v>
      </c>
      <c r="C30" s="78">
        <v>4</v>
      </c>
      <c r="D30" s="79" t="s">
        <v>105</v>
      </c>
      <c r="E30" s="83" t="s">
        <v>106</v>
      </c>
      <c r="F30" s="84" t="s">
        <v>107</v>
      </c>
      <c r="G30" s="85"/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B2:H14"/>
  <sheetViews>
    <sheetView showGridLines="0" zoomScale="90" zoomScaleNormal="90" workbookViewId="0">
      <selection activeCell="E13" sqref="E13"/>
    </sheetView>
  </sheetViews>
  <sheetFormatPr baseColWidth="10" defaultColWidth="11.5703125" defaultRowHeight="12.75" x14ac:dyDescent="0.2"/>
  <cols>
    <col min="1" max="1" width="3.5703125" style="4" customWidth="1"/>
    <col min="2" max="2" width="13.85546875" style="4" customWidth="1"/>
    <col min="3" max="3" width="12.5703125" style="4" customWidth="1"/>
    <col min="4" max="4" width="17" style="4" customWidth="1"/>
    <col min="5" max="5" width="12.85546875" style="4" bestFit="1" customWidth="1"/>
    <col min="6" max="6" width="17.5703125" style="4" customWidth="1"/>
    <col min="7" max="7" width="52.85546875" style="4" bestFit="1" customWidth="1"/>
    <col min="8" max="8" width="59.85546875" style="4" hidden="1" customWidth="1"/>
    <col min="9" max="16384" width="11.5703125" style="4"/>
  </cols>
  <sheetData>
    <row r="2" spans="2:8" ht="20.25" x14ac:dyDescent="0.3">
      <c r="B2" s="187" t="s">
        <v>318</v>
      </c>
    </row>
    <row r="4" spans="2:8" x14ac:dyDescent="0.2">
      <c r="B4" s="5" t="s">
        <v>317</v>
      </c>
    </row>
    <row r="5" spans="2:8" ht="13.5" thickBot="1" x14ac:dyDescent="0.25"/>
    <row r="6" spans="2:8" ht="16.5" thickBot="1" x14ac:dyDescent="0.25">
      <c r="B6" s="1" t="s">
        <v>10</v>
      </c>
      <c r="C6" s="2" t="s">
        <v>11</v>
      </c>
      <c r="D6" s="3" t="s">
        <v>12</v>
      </c>
      <c r="E6" s="2" t="s">
        <v>13</v>
      </c>
      <c r="F6" s="2" t="s">
        <v>6</v>
      </c>
      <c r="G6" s="2" t="s">
        <v>14</v>
      </c>
      <c r="H6" s="129" t="s">
        <v>192</v>
      </c>
    </row>
    <row r="7" spans="2:8" ht="26.25" thickBot="1" x14ac:dyDescent="0.25">
      <c r="B7" s="155" t="s">
        <v>0</v>
      </c>
      <c r="C7" s="172">
        <v>8</v>
      </c>
      <c r="D7" s="169" t="s">
        <v>31</v>
      </c>
      <c r="E7" s="165" t="str">
        <f>Filled_by_requestor!C21</f>
        <v>WAS_0110</v>
      </c>
      <c r="F7" s="157" t="s">
        <v>16</v>
      </c>
      <c r="G7" s="91" t="s">
        <v>251</v>
      </c>
      <c r="H7" s="149" t="s">
        <v>287</v>
      </c>
    </row>
    <row r="8" spans="2:8" ht="26.25" customHeight="1" thickBot="1" x14ac:dyDescent="0.25">
      <c r="B8" s="42" t="s">
        <v>1</v>
      </c>
      <c r="C8" s="173">
        <v>8</v>
      </c>
      <c r="D8" s="121" t="s">
        <v>32</v>
      </c>
      <c r="E8" s="166" t="str">
        <f>Filled_by_requestor!H12</f>
        <v>TMOAKZ01</v>
      </c>
      <c r="F8" s="41" t="s">
        <v>16</v>
      </c>
      <c r="G8" s="158" t="s">
        <v>252</v>
      </c>
      <c r="H8" s="150" t="s">
        <v>288</v>
      </c>
    </row>
    <row r="9" spans="2:8" ht="15.75" thickBot="1" x14ac:dyDescent="0.25">
      <c r="B9" s="42" t="s">
        <v>2</v>
      </c>
      <c r="C9" s="173">
        <v>8</v>
      </c>
      <c r="D9" s="170" t="s">
        <v>5</v>
      </c>
      <c r="E9" s="168" t="s">
        <v>316</v>
      </c>
      <c r="F9" s="90" t="s">
        <v>121</v>
      </c>
      <c r="G9" s="91" t="s">
        <v>15</v>
      </c>
      <c r="H9" s="130" t="s">
        <v>255</v>
      </c>
    </row>
    <row r="10" spans="2:8" ht="26.25" thickBot="1" x14ac:dyDescent="0.25">
      <c r="B10" s="42" t="s">
        <v>3</v>
      </c>
      <c r="C10" s="173">
        <v>4</v>
      </c>
      <c r="D10" s="176" t="s">
        <v>7</v>
      </c>
      <c r="E10" s="262" t="s">
        <v>294</v>
      </c>
      <c r="F10" s="34" t="s">
        <v>121</v>
      </c>
      <c r="G10" s="177" t="s">
        <v>253</v>
      </c>
      <c r="H10" s="130" t="s">
        <v>295</v>
      </c>
    </row>
    <row r="11" spans="2:8" ht="51.75" thickBot="1" x14ac:dyDescent="0.25">
      <c r="B11" s="155" t="s">
        <v>296</v>
      </c>
      <c r="C11" s="172">
        <v>8</v>
      </c>
      <c r="D11" s="169" t="s">
        <v>152</v>
      </c>
      <c r="E11" s="156" t="s">
        <v>128</v>
      </c>
      <c r="F11" s="157" t="s">
        <v>121</v>
      </c>
      <c r="G11" s="91" t="s">
        <v>254</v>
      </c>
      <c r="H11" s="130" t="s">
        <v>290</v>
      </c>
    </row>
    <row r="12" spans="2:8" ht="15.75" thickBot="1" x14ac:dyDescent="0.25">
      <c r="B12" s="42" t="s">
        <v>297</v>
      </c>
      <c r="C12" s="173">
        <v>2</v>
      </c>
      <c r="D12" s="121" t="s">
        <v>149</v>
      </c>
      <c r="E12" s="74" t="s">
        <v>122</v>
      </c>
      <c r="F12" s="41" t="s">
        <v>121</v>
      </c>
      <c r="G12" s="128" t="s">
        <v>262</v>
      </c>
      <c r="H12" s="130" t="s">
        <v>257</v>
      </c>
    </row>
    <row r="13" spans="2:8" ht="26.25" thickBot="1" x14ac:dyDescent="0.25">
      <c r="B13" s="154" t="s">
        <v>298</v>
      </c>
      <c r="C13" s="174">
        <v>8</v>
      </c>
      <c r="D13" s="171" t="s">
        <v>153</v>
      </c>
      <c r="E13" s="167" t="s">
        <v>131</v>
      </c>
      <c r="F13" s="159" t="s">
        <v>121</v>
      </c>
      <c r="G13" s="160" t="s">
        <v>261</v>
      </c>
      <c r="H13" s="131" t="s">
        <v>258</v>
      </c>
    </row>
    <row r="14" spans="2:8" ht="15.75" thickBot="1" x14ac:dyDescent="0.25">
      <c r="B14" s="204" t="s">
        <v>99</v>
      </c>
      <c r="C14" s="205">
        <v>4</v>
      </c>
      <c r="D14" s="206" t="s">
        <v>299</v>
      </c>
      <c r="E14" s="207" t="s">
        <v>115</v>
      </c>
      <c r="F14" s="208" t="s">
        <v>121</v>
      </c>
      <c r="G14" s="209" t="s">
        <v>300</v>
      </c>
      <c r="H14" s="131" t="s">
        <v>301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L32"/>
  <sheetViews>
    <sheetView showGridLines="0" zoomScale="90" zoomScaleNormal="90" workbookViewId="0">
      <selection activeCell="C37" sqref="C37"/>
    </sheetView>
  </sheetViews>
  <sheetFormatPr baseColWidth="10" defaultColWidth="11.42578125" defaultRowHeight="12.75" x14ac:dyDescent="0.2"/>
  <cols>
    <col min="1" max="1" width="3.5703125" style="4" customWidth="1"/>
    <col min="2" max="2" width="13.85546875" style="4" customWidth="1"/>
    <col min="3" max="3" width="12.5703125" style="4" customWidth="1"/>
    <col min="4" max="4" width="16.85546875" style="4" customWidth="1"/>
    <col min="5" max="5" width="16.140625" style="4" customWidth="1"/>
    <col min="6" max="6" width="17.85546875" style="4" customWidth="1"/>
    <col min="7" max="7" width="56.85546875" style="4" customWidth="1"/>
    <col min="8" max="8" width="53.28515625" style="4" hidden="1" customWidth="1"/>
    <col min="9" max="16384" width="11.42578125" style="4"/>
  </cols>
  <sheetData>
    <row r="2" spans="2:12" ht="20.25" x14ac:dyDescent="0.3">
      <c r="B2" s="187" t="s">
        <v>293</v>
      </c>
    </row>
    <row r="3" spans="2:12" ht="34.5" customHeight="1" x14ac:dyDescent="0.2">
      <c r="B3" s="300" t="s">
        <v>263</v>
      </c>
      <c r="C3" s="300"/>
      <c r="D3" s="300"/>
      <c r="E3" s="300"/>
      <c r="F3" s="300"/>
      <c r="G3" s="300"/>
      <c r="H3" s="300"/>
      <c r="I3" s="300"/>
      <c r="J3" s="300"/>
      <c r="K3" s="300"/>
      <c r="L3" s="300"/>
    </row>
    <row r="4" spans="2:12" ht="13.5" thickBot="1" x14ac:dyDescent="0.25"/>
    <row r="5" spans="2:12" ht="16.5" thickBot="1" x14ac:dyDescent="0.25">
      <c r="B5" s="1" t="s">
        <v>10</v>
      </c>
      <c r="C5" s="2" t="s">
        <v>11</v>
      </c>
      <c r="D5" s="3" t="s">
        <v>12</v>
      </c>
      <c r="E5" s="2" t="s">
        <v>13</v>
      </c>
      <c r="F5" s="2" t="s">
        <v>6</v>
      </c>
      <c r="G5" s="2" t="s">
        <v>14</v>
      </c>
      <c r="H5" s="129" t="s">
        <v>192</v>
      </c>
    </row>
    <row r="6" spans="2:12" ht="26.25" thickBot="1" x14ac:dyDescent="0.25">
      <c r="B6" s="31" t="s">
        <v>126</v>
      </c>
      <c r="C6" s="32">
        <v>8</v>
      </c>
      <c r="D6" s="39" t="s">
        <v>31</v>
      </c>
      <c r="E6" s="178" t="str">
        <f>Filled_by_requestor!G29</f>
        <v>TMOAKZ01</v>
      </c>
      <c r="F6" s="37" t="s">
        <v>121</v>
      </c>
      <c r="G6" s="158" t="s">
        <v>259</v>
      </c>
      <c r="H6" s="200" t="s">
        <v>288</v>
      </c>
    </row>
    <row r="7" spans="2:12" ht="26.25" customHeight="1" thickBot="1" x14ac:dyDescent="0.25">
      <c r="B7" s="33" t="s">
        <v>127</v>
      </c>
      <c r="C7" s="34">
        <v>8</v>
      </c>
      <c r="D7" s="39" t="s">
        <v>32</v>
      </c>
      <c r="E7" s="179" t="str">
        <f>Filled_by_requestor!C21</f>
        <v>WAS_0110</v>
      </c>
      <c r="F7" s="37" t="s">
        <v>121</v>
      </c>
      <c r="G7" s="91" t="s">
        <v>260</v>
      </c>
      <c r="H7" s="149" t="s">
        <v>287</v>
      </c>
    </row>
    <row r="8" spans="2:12" ht="15.75" thickBot="1" x14ac:dyDescent="0.25">
      <c r="B8" s="33" t="s">
        <v>123</v>
      </c>
      <c r="C8" s="34">
        <v>8</v>
      </c>
      <c r="D8" s="39" t="s">
        <v>5</v>
      </c>
      <c r="E8" s="73" t="s">
        <v>292</v>
      </c>
      <c r="F8" s="37" t="s">
        <v>121</v>
      </c>
      <c r="G8" s="35" t="s">
        <v>15</v>
      </c>
      <c r="H8" s="130" t="s">
        <v>255</v>
      </c>
    </row>
    <row r="9" spans="2:12" ht="39" thickBot="1" x14ac:dyDescent="0.25">
      <c r="B9" s="33" t="s">
        <v>124</v>
      </c>
      <c r="C9" s="34">
        <v>4</v>
      </c>
      <c r="D9" s="39" t="s">
        <v>7</v>
      </c>
      <c r="E9" s="73" t="s">
        <v>183</v>
      </c>
      <c r="F9" s="37" t="s">
        <v>121</v>
      </c>
      <c r="G9" s="158" t="s">
        <v>253</v>
      </c>
      <c r="H9" s="130" t="s">
        <v>256</v>
      </c>
    </row>
    <row r="10" spans="2:12" ht="51.75" thickBot="1" x14ac:dyDescent="0.25">
      <c r="B10" s="33" t="s">
        <v>125</v>
      </c>
      <c r="C10" s="34">
        <v>8</v>
      </c>
      <c r="D10" s="39" t="s">
        <v>152</v>
      </c>
      <c r="E10" s="73" t="s">
        <v>128</v>
      </c>
      <c r="F10" s="37" t="s">
        <v>121</v>
      </c>
      <c r="G10" s="158" t="s">
        <v>254</v>
      </c>
      <c r="H10" s="130" t="s">
        <v>290</v>
      </c>
    </row>
    <row r="11" spans="2:12" ht="26.25" thickBot="1" x14ac:dyDescent="0.25">
      <c r="B11" s="33" t="s">
        <v>129</v>
      </c>
      <c r="C11" s="34">
        <v>2</v>
      </c>
      <c r="D11" s="39" t="s">
        <v>291</v>
      </c>
      <c r="E11" s="73" t="s">
        <v>122</v>
      </c>
      <c r="F11" s="37" t="s">
        <v>121</v>
      </c>
      <c r="G11" s="158" t="s">
        <v>304</v>
      </c>
      <c r="H11" s="130" t="s">
        <v>302</v>
      </c>
      <c r="I11" s="5"/>
    </row>
    <row r="12" spans="2:12" ht="15.75" thickBot="1" x14ac:dyDescent="0.25">
      <c r="B12" s="210" t="s">
        <v>130</v>
      </c>
      <c r="C12" s="211">
        <v>8</v>
      </c>
      <c r="D12" s="212" t="s">
        <v>299</v>
      </c>
      <c r="E12" s="213" t="s">
        <v>114</v>
      </c>
      <c r="F12" s="214" t="s">
        <v>121</v>
      </c>
      <c r="G12" s="215" t="s">
        <v>300</v>
      </c>
      <c r="H12" s="130" t="s">
        <v>306</v>
      </c>
    </row>
    <row r="13" spans="2:12" ht="15.75" thickBot="1" x14ac:dyDescent="0.25">
      <c r="B13" s="204" t="s">
        <v>99</v>
      </c>
      <c r="C13" s="205">
        <v>4</v>
      </c>
      <c r="D13" s="206" t="s">
        <v>299</v>
      </c>
      <c r="E13" s="207" t="s">
        <v>115</v>
      </c>
      <c r="F13" s="208" t="s">
        <v>121</v>
      </c>
      <c r="G13" s="209" t="s">
        <v>300</v>
      </c>
      <c r="H13" s="131" t="s">
        <v>301</v>
      </c>
    </row>
    <row r="14" spans="2:12" s="6" customFormat="1" ht="15" x14ac:dyDescent="0.2">
      <c r="B14" s="163"/>
      <c r="C14" s="161"/>
      <c r="D14" s="162"/>
      <c r="E14" s="198"/>
      <c r="F14" s="185"/>
      <c r="G14" s="164"/>
      <c r="H14" s="164"/>
    </row>
    <row r="15" spans="2:12" ht="20.25" x14ac:dyDescent="0.3">
      <c r="B15" s="187" t="s">
        <v>270</v>
      </c>
    </row>
    <row r="16" spans="2:12" ht="29.25" customHeight="1" x14ac:dyDescent="0.2">
      <c r="B16" s="300" t="s">
        <v>264</v>
      </c>
      <c r="C16" s="300"/>
      <c r="D16" s="300"/>
      <c r="E16" s="300"/>
      <c r="F16" s="300"/>
      <c r="G16" s="300"/>
    </row>
    <row r="17" spans="2:9" ht="13.5" thickBot="1" x14ac:dyDescent="0.25"/>
    <row r="18" spans="2:9" ht="16.5" thickBot="1" x14ac:dyDescent="0.25">
      <c r="B18" s="1" t="s">
        <v>10</v>
      </c>
      <c r="C18" s="2" t="s">
        <v>11</v>
      </c>
      <c r="D18" s="3" t="s">
        <v>12</v>
      </c>
      <c r="E18" s="2" t="s">
        <v>13</v>
      </c>
      <c r="F18" s="2" t="s">
        <v>6</v>
      </c>
      <c r="G18" s="2" t="s">
        <v>14</v>
      </c>
      <c r="H18" s="129" t="s">
        <v>192</v>
      </c>
    </row>
    <row r="19" spans="2:9" ht="26.25" thickBot="1" x14ac:dyDescent="0.25">
      <c r="B19" s="31" t="s">
        <v>126</v>
      </c>
      <c r="C19" s="32">
        <v>8</v>
      </c>
      <c r="D19" s="39" t="s">
        <v>31</v>
      </c>
      <c r="E19" s="178" t="str">
        <f>Filled_by_requestor!C21</f>
        <v>WAS_0110</v>
      </c>
      <c r="F19" s="37" t="s">
        <v>121</v>
      </c>
      <c r="G19" s="91" t="s">
        <v>251</v>
      </c>
      <c r="H19" s="149" t="s">
        <v>287</v>
      </c>
    </row>
    <row r="20" spans="2:9" ht="26.25" thickBot="1" x14ac:dyDescent="0.25">
      <c r="B20" s="33" t="s">
        <v>127</v>
      </c>
      <c r="C20" s="34">
        <v>8</v>
      </c>
      <c r="D20" s="39" t="s">
        <v>32</v>
      </c>
      <c r="E20" s="179" t="str">
        <f>Filled_by_requestor!G29</f>
        <v>TMOAKZ01</v>
      </c>
      <c r="F20" s="37" t="s">
        <v>121</v>
      </c>
      <c r="G20" s="158" t="s">
        <v>252</v>
      </c>
      <c r="H20" s="150" t="s">
        <v>288</v>
      </c>
    </row>
    <row r="21" spans="2:9" ht="15.75" thickBot="1" x14ac:dyDescent="0.25">
      <c r="B21" s="33" t="s">
        <v>123</v>
      </c>
      <c r="C21" s="34">
        <v>8</v>
      </c>
      <c r="D21" s="39" t="s">
        <v>5</v>
      </c>
      <c r="E21" s="73" t="s">
        <v>246</v>
      </c>
      <c r="F21" s="37" t="s">
        <v>121</v>
      </c>
      <c r="G21" s="91" t="s">
        <v>15</v>
      </c>
      <c r="H21" s="130" t="s">
        <v>255</v>
      </c>
    </row>
    <row r="22" spans="2:9" ht="39" thickBot="1" x14ac:dyDescent="0.25">
      <c r="B22" s="33" t="s">
        <v>124</v>
      </c>
      <c r="C22" s="34">
        <v>4</v>
      </c>
      <c r="D22" s="39" t="s">
        <v>7</v>
      </c>
      <c r="E22" s="73" t="s">
        <v>183</v>
      </c>
      <c r="F22" s="37" t="s">
        <v>121</v>
      </c>
      <c r="G22" s="177" t="s">
        <v>253</v>
      </c>
      <c r="H22" s="130" t="s">
        <v>256</v>
      </c>
    </row>
    <row r="23" spans="2:9" ht="51.75" thickBot="1" x14ac:dyDescent="0.25">
      <c r="B23" s="33" t="s">
        <v>125</v>
      </c>
      <c r="C23" s="34">
        <v>8</v>
      </c>
      <c r="D23" s="39" t="s">
        <v>152</v>
      </c>
      <c r="E23" s="74" t="s">
        <v>128</v>
      </c>
      <c r="F23" s="41" t="s">
        <v>121</v>
      </c>
      <c r="G23" s="91" t="s">
        <v>254</v>
      </c>
      <c r="H23" s="130" t="s">
        <v>290</v>
      </c>
    </row>
    <row r="24" spans="2:9" ht="15.75" thickBot="1" x14ac:dyDescent="0.25">
      <c r="B24" s="33" t="s">
        <v>129</v>
      </c>
      <c r="C24" s="34">
        <v>2</v>
      </c>
      <c r="D24" s="39" t="s">
        <v>149</v>
      </c>
      <c r="E24" s="74" t="s">
        <v>122</v>
      </c>
      <c r="F24" s="41" t="s">
        <v>121</v>
      </c>
      <c r="G24" s="128" t="s">
        <v>262</v>
      </c>
      <c r="H24" s="130" t="s">
        <v>257</v>
      </c>
    </row>
    <row r="25" spans="2:9" ht="51.75" thickBot="1" x14ac:dyDescent="0.25">
      <c r="B25" s="33" t="s">
        <v>130</v>
      </c>
      <c r="C25" s="34">
        <v>8</v>
      </c>
      <c r="D25" s="39" t="s">
        <v>153</v>
      </c>
      <c r="E25" s="74" t="s">
        <v>131</v>
      </c>
      <c r="F25" s="41" t="s">
        <v>121</v>
      </c>
      <c r="G25" s="158" t="s">
        <v>268</v>
      </c>
      <c r="H25" s="130" t="s">
        <v>309</v>
      </c>
      <c r="I25" s="201"/>
    </row>
    <row r="26" spans="2:9" ht="39" thickBot="1" x14ac:dyDescent="0.25">
      <c r="B26" s="88" t="s">
        <v>99</v>
      </c>
      <c r="C26" s="78">
        <v>4</v>
      </c>
      <c r="D26" s="79" t="s">
        <v>105</v>
      </c>
      <c r="E26" s="83" t="s">
        <v>106</v>
      </c>
      <c r="F26" s="84" t="s">
        <v>107</v>
      </c>
      <c r="G26" s="85" t="s">
        <v>323</v>
      </c>
      <c r="H26" s="131" t="s">
        <v>303</v>
      </c>
      <c r="I26" s="201"/>
    </row>
    <row r="27" spans="2:9" ht="15" x14ac:dyDescent="0.2">
      <c r="B27" s="301"/>
      <c r="C27" s="301"/>
      <c r="D27" s="301"/>
      <c r="E27" s="301"/>
      <c r="F27" s="301"/>
      <c r="G27" s="301"/>
    </row>
    <row r="28" spans="2:9" x14ac:dyDescent="0.2">
      <c r="B28" s="182" t="s">
        <v>265</v>
      </c>
      <c r="C28" s="182"/>
      <c r="D28" s="182"/>
      <c r="E28" s="182"/>
      <c r="F28" s="183"/>
      <c r="G28" s="180"/>
    </row>
    <row r="29" spans="2:9" x14ac:dyDescent="0.2">
      <c r="B29" s="181" t="s">
        <v>267</v>
      </c>
      <c r="C29" s="180"/>
      <c r="D29" s="180"/>
      <c r="E29" s="180"/>
      <c r="F29" s="180"/>
      <c r="G29" s="180"/>
    </row>
    <row r="30" spans="2:9" x14ac:dyDescent="0.2">
      <c r="B30" s="181" t="s">
        <v>266</v>
      </c>
      <c r="C30" s="180"/>
      <c r="D30" s="180"/>
      <c r="E30" s="180"/>
      <c r="F30" s="180"/>
      <c r="G30" s="180"/>
    </row>
    <row r="31" spans="2:9" x14ac:dyDescent="0.2">
      <c r="B31" s="181" t="s">
        <v>269</v>
      </c>
      <c r="C31" s="180"/>
      <c r="D31" s="180"/>
      <c r="E31" s="180"/>
      <c r="F31" s="180"/>
      <c r="G31" s="180"/>
    </row>
    <row r="32" spans="2:9" x14ac:dyDescent="0.2">
      <c r="B32" s="180" t="s">
        <v>324</v>
      </c>
      <c r="C32" s="180"/>
      <c r="D32" s="180"/>
      <c r="E32" s="180"/>
      <c r="F32" s="180"/>
      <c r="G32" s="180"/>
    </row>
  </sheetData>
  <mergeCells count="3">
    <mergeCell ref="B3:L3"/>
    <mergeCell ref="B27:G27"/>
    <mergeCell ref="B16:G16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P27"/>
  <sheetViews>
    <sheetView showGridLines="0" zoomScale="90" zoomScaleNormal="90" workbookViewId="0">
      <selection activeCell="M12" sqref="M12"/>
    </sheetView>
  </sheetViews>
  <sheetFormatPr baseColWidth="10" defaultColWidth="11.42578125" defaultRowHeight="12.75" x14ac:dyDescent="0.2"/>
  <cols>
    <col min="1" max="1" width="3.5703125" style="4" customWidth="1"/>
    <col min="2" max="2" width="13.7109375" style="4" customWidth="1"/>
    <col min="3" max="3" width="11.7109375" style="4" customWidth="1"/>
    <col min="4" max="6" width="17.7109375" style="4" customWidth="1"/>
    <col min="7" max="7" width="51.85546875" style="4" customWidth="1"/>
    <col min="8" max="8" width="46.28515625" style="4" hidden="1" customWidth="1"/>
    <col min="9" max="9" width="11.42578125" style="4"/>
    <col min="10" max="10" width="16" style="4" customWidth="1"/>
    <col min="11" max="11" width="11.42578125" style="4"/>
    <col min="12" max="12" width="12.85546875" style="4" bestFit="1" customWidth="1"/>
    <col min="13" max="13" width="13.7109375" style="4" customWidth="1"/>
    <col min="14" max="14" width="59.85546875" style="4" customWidth="1"/>
    <col min="15" max="15" width="46.28515625" style="4" customWidth="1"/>
    <col min="16" max="16384" width="11.42578125" style="4"/>
  </cols>
  <sheetData>
    <row r="2" spans="2:16" ht="20.25" x14ac:dyDescent="0.3">
      <c r="B2" s="187" t="s">
        <v>271</v>
      </c>
    </row>
    <row r="3" spans="2:16" ht="26.25" customHeight="1" x14ac:dyDescent="0.2">
      <c r="B3" s="300" t="s">
        <v>273</v>
      </c>
      <c r="C3" s="302"/>
      <c r="D3" s="302"/>
      <c r="E3" s="302"/>
      <c r="F3" s="302"/>
      <c r="G3" s="302"/>
      <c r="H3" s="132"/>
      <c r="I3" s="132"/>
      <c r="J3" s="132"/>
    </row>
    <row r="4" spans="2:16" ht="13.5" thickBot="1" x14ac:dyDescent="0.25"/>
    <row r="5" spans="2:16" ht="16.5" thickBot="1" x14ac:dyDescent="0.25">
      <c r="B5" s="1" t="s">
        <v>10</v>
      </c>
      <c r="C5" s="2" t="s">
        <v>11</v>
      </c>
      <c r="D5" s="3" t="s">
        <v>12</v>
      </c>
      <c r="E5" s="2" t="s">
        <v>13</v>
      </c>
      <c r="F5" s="2" t="s">
        <v>6</v>
      </c>
      <c r="G5" s="2" t="s">
        <v>14</v>
      </c>
      <c r="H5" s="129" t="s">
        <v>245</v>
      </c>
    </row>
    <row r="6" spans="2:16" ht="26.25" thickBot="1" x14ac:dyDescent="0.25">
      <c r="B6" s="155" t="s">
        <v>0</v>
      </c>
      <c r="C6" s="172">
        <v>8</v>
      </c>
      <c r="D6" s="169" t="s">
        <v>31</v>
      </c>
      <c r="E6" s="188" t="str">
        <f>Filled_by_requestor!H12</f>
        <v>TMOAKZ01</v>
      </c>
      <c r="F6" s="157" t="s">
        <v>16</v>
      </c>
      <c r="G6" s="158" t="s">
        <v>252</v>
      </c>
      <c r="H6" s="200" t="s">
        <v>288</v>
      </c>
    </row>
    <row r="7" spans="2:16" ht="26.25" thickBot="1" x14ac:dyDescent="0.25">
      <c r="B7" s="42" t="s">
        <v>1</v>
      </c>
      <c r="C7" s="173">
        <v>8</v>
      </c>
      <c r="D7" s="121" t="s">
        <v>32</v>
      </c>
      <c r="E7" s="189" t="str">
        <f>Filled_by_requestor!C21</f>
        <v>WAS_0110</v>
      </c>
      <c r="F7" s="41" t="s">
        <v>16</v>
      </c>
      <c r="G7" s="91" t="s">
        <v>260</v>
      </c>
      <c r="H7" s="149" t="s">
        <v>287</v>
      </c>
    </row>
    <row r="8" spans="2:16" ht="15.75" thickBot="1" x14ac:dyDescent="0.25">
      <c r="B8" s="42" t="s">
        <v>2</v>
      </c>
      <c r="C8" s="173">
        <v>8</v>
      </c>
      <c r="D8" s="170" t="s">
        <v>5</v>
      </c>
      <c r="E8" s="168" t="s">
        <v>248</v>
      </c>
      <c r="F8" s="90" t="s">
        <v>121</v>
      </c>
      <c r="G8" s="91" t="s">
        <v>15</v>
      </c>
      <c r="H8" s="130" t="s">
        <v>255</v>
      </c>
    </row>
    <row r="9" spans="2:16" ht="51.75" thickBot="1" x14ac:dyDescent="0.25">
      <c r="B9" s="42" t="s">
        <v>3</v>
      </c>
      <c r="C9" s="173">
        <v>4</v>
      </c>
      <c r="D9" s="176" t="s">
        <v>7</v>
      </c>
      <c r="E9" s="175" t="s">
        <v>183</v>
      </c>
      <c r="F9" s="34" t="s">
        <v>121</v>
      </c>
      <c r="G9" s="177" t="s">
        <v>253</v>
      </c>
      <c r="H9" s="130" t="s">
        <v>256</v>
      </c>
    </row>
    <row r="10" spans="2:16" ht="64.5" thickBot="1" x14ac:dyDescent="0.25">
      <c r="B10" s="155" t="s">
        <v>125</v>
      </c>
      <c r="C10" s="172">
        <v>8</v>
      </c>
      <c r="D10" s="169" t="s">
        <v>152</v>
      </c>
      <c r="E10" s="156" t="s">
        <v>128</v>
      </c>
      <c r="F10" s="157" t="s">
        <v>121</v>
      </c>
      <c r="G10" s="91" t="s">
        <v>254</v>
      </c>
      <c r="H10" s="130" t="s">
        <v>290</v>
      </c>
      <c r="M10" s="186"/>
      <c r="N10" s="186"/>
    </row>
    <row r="11" spans="2:16" ht="15.75" thickBot="1" x14ac:dyDescent="0.25">
      <c r="B11" s="42" t="s">
        <v>129</v>
      </c>
      <c r="C11" s="173">
        <v>2</v>
      </c>
      <c r="D11" s="121" t="s">
        <v>149</v>
      </c>
      <c r="E11" s="74" t="s">
        <v>122</v>
      </c>
      <c r="F11" s="41" t="s">
        <v>121</v>
      </c>
      <c r="G11" s="128" t="s">
        <v>262</v>
      </c>
      <c r="H11" s="130" t="s">
        <v>257</v>
      </c>
      <c r="M11" s="186"/>
      <c r="N11" s="193"/>
      <c r="O11" s="6"/>
      <c r="P11" s="6"/>
    </row>
    <row r="12" spans="2:16" ht="26.25" thickBot="1" x14ac:dyDescent="0.25">
      <c r="B12" s="154" t="s">
        <v>130</v>
      </c>
      <c r="C12" s="174">
        <v>8</v>
      </c>
      <c r="D12" s="171" t="s">
        <v>153</v>
      </c>
      <c r="E12" s="167" t="s">
        <v>131</v>
      </c>
      <c r="F12" s="159" t="s">
        <v>121</v>
      </c>
      <c r="G12" s="160" t="s">
        <v>261</v>
      </c>
      <c r="H12" s="131" t="s">
        <v>258</v>
      </c>
      <c r="M12" s="186"/>
      <c r="N12" s="193"/>
      <c r="O12" s="164"/>
      <c r="P12" s="6"/>
    </row>
    <row r="13" spans="2:16" ht="15.75" thickBot="1" x14ac:dyDescent="0.25">
      <c r="B13" s="204" t="s">
        <v>99</v>
      </c>
      <c r="C13" s="205">
        <v>4</v>
      </c>
      <c r="D13" s="206" t="s">
        <v>299</v>
      </c>
      <c r="E13" s="207" t="s">
        <v>115</v>
      </c>
      <c r="F13" s="208" t="s">
        <v>121</v>
      </c>
      <c r="G13" s="209" t="s">
        <v>300</v>
      </c>
      <c r="H13" s="131" t="s">
        <v>301</v>
      </c>
    </row>
    <row r="14" spans="2:16" s="6" customFormat="1" ht="15" x14ac:dyDescent="0.2">
      <c r="B14" s="163"/>
      <c r="C14" s="161"/>
      <c r="D14" s="162"/>
      <c r="E14" s="198"/>
      <c r="F14" s="185"/>
      <c r="G14" s="164"/>
      <c r="M14" s="186"/>
      <c r="N14" s="193"/>
      <c r="O14" s="164"/>
    </row>
    <row r="15" spans="2:16" ht="20.25" x14ac:dyDescent="0.3">
      <c r="B15" s="187" t="s">
        <v>272</v>
      </c>
      <c r="J15" s="163"/>
      <c r="K15" s="161"/>
      <c r="L15" s="162"/>
      <c r="M15" s="184"/>
      <c r="N15" s="185"/>
      <c r="O15" s="164"/>
      <c r="P15" s="6"/>
    </row>
    <row r="16" spans="2:16" x14ac:dyDescent="0.2">
      <c r="B16" s="92" t="s">
        <v>138</v>
      </c>
      <c r="J16" s="186"/>
      <c r="K16" s="186"/>
      <c r="L16" s="186"/>
      <c r="M16" s="186"/>
      <c r="N16" s="186"/>
      <c r="O16" s="186"/>
      <c r="P16" s="6"/>
    </row>
    <row r="17" spans="2:16" x14ac:dyDescent="0.2">
      <c r="B17" s="92" t="s">
        <v>137</v>
      </c>
      <c r="J17" s="186"/>
      <c r="K17" s="186"/>
      <c r="L17" s="186"/>
      <c r="M17" s="186"/>
      <c r="N17" s="186"/>
      <c r="O17" s="186"/>
      <c r="P17" s="6"/>
    </row>
    <row r="18" spans="2:16" ht="13.5" thickBot="1" x14ac:dyDescent="0.25">
      <c r="B18" s="92"/>
      <c r="J18" s="6"/>
      <c r="K18" s="6"/>
      <c r="L18" s="6"/>
      <c r="M18" s="6"/>
      <c r="N18" s="6"/>
      <c r="O18" s="6"/>
      <c r="P18" s="6"/>
    </row>
    <row r="19" spans="2:16" ht="16.5" thickBot="1" x14ac:dyDescent="0.25">
      <c r="B19" s="1" t="s">
        <v>10</v>
      </c>
      <c r="C19" s="2" t="s">
        <v>11</v>
      </c>
      <c r="D19" s="3" t="s">
        <v>12</v>
      </c>
      <c r="E19" s="2" t="s">
        <v>13</v>
      </c>
      <c r="F19" s="2" t="s">
        <v>6</v>
      </c>
      <c r="G19" s="2" t="s">
        <v>14</v>
      </c>
      <c r="H19" s="129" t="s">
        <v>245</v>
      </c>
      <c r="J19" s="6"/>
      <c r="K19" s="6"/>
      <c r="L19" s="6"/>
      <c r="M19" s="6"/>
      <c r="N19" s="6"/>
      <c r="O19" s="6"/>
      <c r="P19" s="6"/>
    </row>
    <row r="20" spans="2:16" ht="26.25" thickBot="1" x14ac:dyDescent="0.25">
      <c r="B20" s="31" t="s">
        <v>0</v>
      </c>
      <c r="C20" s="32">
        <v>8</v>
      </c>
      <c r="D20" s="36" t="s">
        <v>31</v>
      </c>
      <c r="E20" s="72" t="str">
        <f>E7</f>
        <v>WAS_0110</v>
      </c>
      <c r="F20" s="37" t="s">
        <v>121</v>
      </c>
      <c r="G20" s="158" t="s">
        <v>259</v>
      </c>
      <c r="H20" s="130" t="s">
        <v>287</v>
      </c>
      <c r="J20" s="6"/>
      <c r="K20" s="6"/>
      <c r="L20" s="6"/>
      <c r="M20" s="6"/>
      <c r="N20" s="6"/>
      <c r="O20" s="6"/>
      <c r="P20" s="6"/>
    </row>
    <row r="21" spans="2:16" ht="26.25" thickBot="1" x14ac:dyDescent="0.25">
      <c r="B21" s="33" t="s">
        <v>1</v>
      </c>
      <c r="C21" s="34">
        <v>8</v>
      </c>
      <c r="D21" s="39" t="s">
        <v>32</v>
      </c>
      <c r="E21" s="72" t="str">
        <f>E6</f>
        <v>TMOAKZ01</v>
      </c>
      <c r="F21" s="37" t="s">
        <v>121</v>
      </c>
      <c r="G21" s="91" t="s">
        <v>260</v>
      </c>
      <c r="H21" s="200" t="s">
        <v>288</v>
      </c>
    </row>
    <row r="22" spans="2:16" ht="15.75" thickBot="1" x14ac:dyDescent="0.25">
      <c r="B22" s="33" t="s">
        <v>2</v>
      </c>
      <c r="C22" s="34">
        <v>8</v>
      </c>
      <c r="D22" s="39" t="s">
        <v>5</v>
      </c>
      <c r="E22" s="73" t="s">
        <v>249</v>
      </c>
      <c r="F22" s="37" t="s">
        <v>121</v>
      </c>
      <c r="G22" s="35" t="s">
        <v>15</v>
      </c>
      <c r="H22" s="130" t="s">
        <v>255</v>
      </c>
    </row>
    <row r="23" spans="2:16" ht="51.75" thickBot="1" x14ac:dyDescent="0.25">
      <c r="B23" s="33" t="s">
        <v>3</v>
      </c>
      <c r="C23" s="34">
        <v>4</v>
      </c>
      <c r="D23" s="39" t="s">
        <v>7</v>
      </c>
      <c r="E23" s="73" t="s">
        <v>183</v>
      </c>
      <c r="F23" s="37" t="s">
        <v>121</v>
      </c>
      <c r="G23" s="158" t="s">
        <v>253</v>
      </c>
      <c r="H23" s="130" t="s">
        <v>256</v>
      </c>
    </row>
    <row r="24" spans="2:16" ht="64.5" thickBot="1" x14ac:dyDescent="0.25">
      <c r="B24" s="216" t="s">
        <v>125</v>
      </c>
      <c r="C24" s="217">
        <v>8</v>
      </c>
      <c r="D24" s="218" t="s">
        <v>152</v>
      </c>
      <c r="E24" s="219" t="s">
        <v>128</v>
      </c>
      <c r="F24" s="220" t="s">
        <v>121</v>
      </c>
      <c r="G24" s="91" t="s">
        <v>254</v>
      </c>
      <c r="H24" s="130" t="s">
        <v>290</v>
      </c>
    </row>
    <row r="25" spans="2:16" ht="15.75" thickBot="1" x14ac:dyDescent="0.25">
      <c r="B25" s="229" t="s">
        <v>129</v>
      </c>
      <c r="C25" s="230">
        <v>2</v>
      </c>
      <c r="D25" s="231" t="s">
        <v>299</v>
      </c>
      <c r="E25" s="232" t="s">
        <v>113</v>
      </c>
      <c r="F25" s="233" t="s">
        <v>121</v>
      </c>
      <c r="G25" s="234" t="s">
        <v>300</v>
      </c>
      <c r="H25" s="235" t="s">
        <v>305</v>
      </c>
    </row>
    <row r="26" spans="2:16" ht="15.75" thickBot="1" x14ac:dyDescent="0.25">
      <c r="B26" s="236" t="s">
        <v>130</v>
      </c>
      <c r="C26" s="237">
        <v>8</v>
      </c>
      <c r="D26" s="238" t="s">
        <v>299</v>
      </c>
      <c r="E26" s="239" t="s">
        <v>114</v>
      </c>
      <c r="F26" s="240" t="s">
        <v>121</v>
      </c>
      <c r="G26" s="241" t="s">
        <v>300</v>
      </c>
      <c r="H26" s="131" t="s">
        <v>301</v>
      </c>
    </row>
    <row r="27" spans="2:16" ht="15.75" thickBot="1" x14ac:dyDescent="0.25">
      <c r="B27" s="154" t="s">
        <v>99</v>
      </c>
      <c r="C27" s="225">
        <v>4</v>
      </c>
      <c r="D27" s="226" t="s">
        <v>105</v>
      </c>
      <c r="E27" s="227" t="s">
        <v>106</v>
      </c>
      <c r="F27" s="159" t="s">
        <v>121</v>
      </c>
      <c r="G27" s="160" t="s">
        <v>277</v>
      </c>
      <c r="H27" s="228" t="s">
        <v>289</v>
      </c>
    </row>
  </sheetData>
  <mergeCells count="1">
    <mergeCell ref="B3:G3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G17"/>
  <sheetViews>
    <sheetView showGridLines="0" zoomScaleNormal="100" workbookViewId="0">
      <selection activeCell="D24" sqref="D24"/>
    </sheetView>
  </sheetViews>
  <sheetFormatPr baseColWidth="10" defaultColWidth="11.42578125" defaultRowHeight="12.75" x14ac:dyDescent="0.2"/>
  <cols>
    <col min="1" max="1" width="3.5703125" style="4" customWidth="1"/>
    <col min="2" max="2" width="12.42578125" style="4" customWidth="1"/>
    <col min="3" max="3" width="10" style="4" bestFit="1" customWidth="1"/>
    <col min="4" max="4" width="13.5703125" style="4" bestFit="1" customWidth="1"/>
    <col min="5" max="5" width="16.85546875" style="4" bestFit="1" customWidth="1"/>
    <col min="6" max="6" width="14.5703125" style="4" bestFit="1" customWidth="1"/>
    <col min="7" max="7" width="45.5703125" style="4" customWidth="1"/>
    <col min="8" max="16384" width="11.42578125" style="4"/>
  </cols>
  <sheetData>
    <row r="2" spans="2:7" ht="20.25" x14ac:dyDescent="0.3">
      <c r="B2" s="7" t="s">
        <v>77</v>
      </c>
    </row>
    <row r="4" spans="2:7" x14ac:dyDescent="0.2">
      <c r="B4" s="300" t="s">
        <v>74</v>
      </c>
      <c r="C4" s="300"/>
      <c r="D4" s="300"/>
      <c r="E4" s="300"/>
      <c r="F4" s="300"/>
      <c r="G4" s="300"/>
    </row>
    <row r="5" spans="2:7" x14ac:dyDescent="0.2">
      <c r="B5" s="5" t="s">
        <v>75</v>
      </c>
    </row>
    <row r="6" spans="2:7" x14ac:dyDescent="0.2">
      <c r="B6" s="5" t="s">
        <v>69</v>
      </c>
    </row>
    <row r="7" spans="2:7" ht="13.5" thickBot="1" x14ac:dyDescent="0.25">
      <c r="B7" s="5"/>
    </row>
    <row r="8" spans="2:7" ht="16.5" thickBot="1" x14ac:dyDescent="0.25">
      <c r="B8" s="1" t="s">
        <v>10</v>
      </c>
      <c r="C8" s="2" t="s">
        <v>11</v>
      </c>
      <c r="D8" s="3" t="s">
        <v>12</v>
      </c>
      <c r="E8" s="2" t="s">
        <v>13</v>
      </c>
      <c r="F8" s="2" t="s">
        <v>6</v>
      </c>
      <c r="G8" s="2" t="s">
        <v>14</v>
      </c>
    </row>
    <row r="9" spans="2:7" ht="39" thickBot="1" x14ac:dyDescent="0.25">
      <c r="B9" s="31" t="s">
        <v>0</v>
      </c>
      <c r="C9" s="32">
        <v>8</v>
      </c>
      <c r="D9" s="36" t="s">
        <v>31</v>
      </c>
      <c r="E9" s="72" t="str">
        <f>Filled_by_requestor!H12</f>
        <v>TMOAKZ01</v>
      </c>
      <c r="F9" s="37" t="s">
        <v>16</v>
      </c>
      <c r="G9" s="38" t="s">
        <v>18</v>
      </c>
    </row>
    <row r="10" spans="2:7" ht="26.25" thickBot="1" x14ac:dyDescent="0.25">
      <c r="B10" s="33" t="s">
        <v>1</v>
      </c>
      <c r="C10" s="34">
        <v>8</v>
      </c>
      <c r="D10" s="39" t="s">
        <v>32</v>
      </c>
      <c r="E10" s="72" t="str">
        <f>Filled_by_requestor!C15</f>
        <v>Connection</v>
      </c>
      <c r="F10" s="37" t="s">
        <v>16</v>
      </c>
      <c r="G10" s="40" t="s">
        <v>29</v>
      </c>
    </row>
    <row r="11" spans="2:7" ht="26.25" thickBot="1" x14ac:dyDescent="0.25">
      <c r="B11" s="33" t="s">
        <v>2</v>
      </c>
      <c r="C11" s="34">
        <v>8</v>
      </c>
      <c r="D11" s="39" t="s">
        <v>5</v>
      </c>
      <c r="E11" s="73" t="s">
        <v>40</v>
      </c>
      <c r="F11" s="37" t="s">
        <v>16</v>
      </c>
      <c r="G11" s="35" t="s">
        <v>15</v>
      </c>
    </row>
    <row r="12" spans="2:7" ht="26.25" thickBot="1" x14ac:dyDescent="0.25">
      <c r="B12" s="33" t="s">
        <v>3</v>
      </c>
      <c r="C12" s="34">
        <v>4</v>
      </c>
      <c r="D12" s="39" t="s">
        <v>7</v>
      </c>
      <c r="E12" s="73" t="s">
        <v>78</v>
      </c>
      <c r="F12" s="37" t="s">
        <v>16</v>
      </c>
      <c r="G12" s="35" t="s">
        <v>79</v>
      </c>
    </row>
    <row r="13" spans="2:7" ht="15.75" thickBot="1" x14ac:dyDescent="0.25">
      <c r="B13" s="33" t="s">
        <v>4</v>
      </c>
      <c r="C13" s="34">
        <v>4</v>
      </c>
      <c r="D13" s="39" t="s">
        <v>28</v>
      </c>
      <c r="E13" s="73" t="s">
        <v>8</v>
      </c>
      <c r="F13" s="41" t="s">
        <v>17</v>
      </c>
      <c r="G13" s="35" t="s">
        <v>45</v>
      </c>
    </row>
    <row r="14" spans="2:7" ht="26.25" thickBot="1" x14ac:dyDescent="0.25">
      <c r="B14" s="42" t="s">
        <v>33</v>
      </c>
      <c r="C14" s="34">
        <v>2</v>
      </c>
      <c r="D14" s="39" t="s">
        <v>30</v>
      </c>
      <c r="E14" s="72">
        <f>Filled_by_requestor!F15</f>
        <v>0</v>
      </c>
      <c r="F14" s="37" t="s">
        <v>16</v>
      </c>
      <c r="G14" s="35" t="s">
        <v>9</v>
      </c>
    </row>
    <row r="15" spans="2:7" ht="15.75" thickBot="1" x14ac:dyDescent="0.25">
      <c r="B15" s="42" t="s">
        <v>34</v>
      </c>
      <c r="C15" s="34">
        <v>12</v>
      </c>
      <c r="D15" s="39" t="s">
        <v>35</v>
      </c>
      <c r="E15" s="73" t="s">
        <v>41</v>
      </c>
      <c r="F15" s="41" t="s">
        <v>17</v>
      </c>
      <c r="G15" s="35" t="s">
        <v>43</v>
      </c>
    </row>
    <row r="16" spans="2:7" ht="15.75" thickBot="1" x14ac:dyDescent="0.25">
      <c r="B16" s="42" t="s">
        <v>37</v>
      </c>
      <c r="C16" s="34">
        <v>6</v>
      </c>
      <c r="D16" s="39" t="s">
        <v>36</v>
      </c>
      <c r="E16" s="73" t="s">
        <v>42</v>
      </c>
      <c r="F16" s="41" t="s">
        <v>17</v>
      </c>
      <c r="G16" s="35" t="s">
        <v>44</v>
      </c>
    </row>
    <row r="17" spans="2:7" ht="15.75" thickBot="1" x14ac:dyDescent="0.25">
      <c r="B17" s="43" t="s">
        <v>38</v>
      </c>
      <c r="C17" s="44">
        <v>8</v>
      </c>
      <c r="D17" s="45" t="s">
        <v>46</v>
      </c>
      <c r="E17" s="75"/>
      <c r="F17" s="46"/>
      <c r="G17" s="47" t="s">
        <v>47</v>
      </c>
    </row>
  </sheetData>
  <mergeCells count="1">
    <mergeCell ref="B4:G4"/>
  </mergeCells>
  <pageMargins left="0.19685039370078741" right="0.19685039370078741" top="0.19685039370078741" bottom="0.19685039370078741" header="0.31496062992125984" footer="0.31496062992125984"/>
  <pageSetup paperSize="9" scale="8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31"/>
  <sheetViews>
    <sheetView showGridLines="0" zoomScale="90" zoomScaleNormal="90" workbookViewId="0">
      <selection activeCell="C38" sqref="C38"/>
    </sheetView>
  </sheetViews>
  <sheetFormatPr baseColWidth="10" defaultRowHeight="12.75" x14ac:dyDescent="0.2"/>
  <cols>
    <col min="1" max="1" width="4.5703125" customWidth="1"/>
    <col min="2" max="2" width="13.7109375" customWidth="1"/>
    <col min="3" max="3" width="11.7109375" customWidth="1"/>
    <col min="4" max="6" width="17.7109375" customWidth="1"/>
    <col min="7" max="7" width="60.7109375" customWidth="1"/>
    <col min="8" max="8" width="45.28515625" hidden="1" customWidth="1"/>
    <col min="9" max="9" width="14.5703125" customWidth="1"/>
  </cols>
  <sheetData>
    <row r="1" spans="1:9" x14ac:dyDescent="0.2">
      <c r="A1" s="4"/>
      <c r="B1" s="4"/>
      <c r="C1" s="4"/>
      <c r="D1" s="4"/>
      <c r="E1" s="4"/>
      <c r="F1" s="4"/>
      <c r="G1" s="4"/>
      <c r="H1" s="4"/>
    </row>
    <row r="2" spans="1:9" ht="20.25" x14ac:dyDescent="0.3">
      <c r="A2" s="4"/>
      <c r="B2" s="187" t="s">
        <v>274</v>
      </c>
      <c r="C2" s="4"/>
      <c r="D2" s="4"/>
      <c r="E2" s="4"/>
      <c r="F2" s="4"/>
      <c r="G2" s="4"/>
      <c r="H2" s="4"/>
    </row>
    <row r="3" spans="1:9" s="4" customFormat="1" ht="26.25" customHeight="1" x14ac:dyDescent="0.2">
      <c r="B3" s="300" t="s">
        <v>275</v>
      </c>
      <c r="C3" s="302"/>
      <c r="D3" s="302"/>
      <c r="E3" s="302"/>
      <c r="F3" s="302"/>
      <c r="G3" s="302"/>
      <c r="H3" s="132"/>
      <c r="I3" s="132"/>
    </row>
    <row r="4" spans="1:9" ht="18.75" thickBot="1" x14ac:dyDescent="0.3">
      <c r="A4" s="4"/>
      <c r="B4" s="112"/>
      <c r="C4" s="4"/>
      <c r="D4" s="4"/>
      <c r="E4" s="4"/>
      <c r="F4" s="4"/>
      <c r="G4" s="4"/>
      <c r="H4" s="4"/>
    </row>
    <row r="5" spans="1:9" ht="16.5" thickBot="1" x14ac:dyDescent="0.25">
      <c r="A5" s="4"/>
      <c r="B5" s="1" t="s">
        <v>10</v>
      </c>
      <c r="C5" s="2" t="s">
        <v>11</v>
      </c>
      <c r="D5" s="3" t="s">
        <v>12</v>
      </c>
      <c r="E5" s="2" t="s">
        <v>13</v>
      </c>
      <c r="F5" s="2" t="s">
        <v>6</v>
      </c>
      <c r="G5" s="2" t="s">
        <v>14</v>
      </c>
      <c r="H5" s="129" t="s">
        <v>192</v>
      </c>
    </row>
    <row r="6" spans="1:9" ht="26.25" thickBot="1" x14ac:dyDescent="0.25">
      <c r="A6" s="4"/>
      <c r="B6" s="116" t="s">
        <v>0</v>
      </c>
      <c r="C6" s="117">
        <v>8</v>
      </c>
      <c r="D6" s="39" t="s">
        <v>31</v>
      </c>
      <c r="E6" s="118" t="str">
        <f>Filled_by_requestor!C21</f>
        <v>WAS_0110</v>
      </c>
      <c r="F6" s="37" t="s">
        <v>121</v>
      </c>
      <c r="G6" s="202" t="s">
        <v>194</v>
      </c>
      <c r="H6" s="203" t="s">
        <v>287</v>
      </c>
    </row>
    <row r="7" spans="1:9" ht="53.25" customHeight="1" thickBot="1" x14ac:dyDescent="0.25">
      <c r="A7" s="4"/>
      <c r="B7" s="42" t="s">
        <v>1</v>
      </c>
      <c r="C7" s="119">
        <v>8</v>
      </c>
      <c r="D7" s="39" t="s">
        <v>32</v>
      </c>
      <c r="E7" s="118" t="str">
        <f>Filled_by_requestor!G29</f>
        <v>TMOAKZ01</v>
      </c>
      <c r="F7" s="37" t="s">
        <v>121</v>
      </c>
      <c r="G7" s="134" t="s">
        <v>182</v>
      </c>
      <c r="H7" s="203" t="s">
        <v>288</v>
      </c>
    </row>
    <row r="8" spans="1:9" ht="16.5" thickBot="1" x14ac:dyDescent="0.25">
      <c r="A8" s="4"/>
      <c r="B8" s="42" t="s">
        <v>2</v>
      </c>
      <c r="C8" s="119">
        <v>8</v>
      </c>
      <c r="D8" s="39" t="s">
        <v>5</v>
      </c>
      <c r="E8" s="120" t="s">
        <v>189</v>
      </c>
      <c r="F8" s="37" t="s">
        <v>121</v>
      </c>
      <c r="G8" s="35" t="s">
        <v>15</v>
      </c>
      <c r="H8" s="130" t="s">
        <v>255</v>
      </c>
    </row>
    <row r="9" spans="1:9" ht="51.75" thickBot="1" x14ac:dyDescent="0.25">
      <c r="A9" s="4"/>
      <c r="B9" s="42" t="s">
        <v>3</v>
      </c>
      <c r="C9" s="119">
        <v>4</v>
      </c>
      <c r="D9" s="39" t="s">
        <v>7</v>
      </c>
      <c r="E9" s="120" t="s">
        <v>183</v>
      </c>
      <c r="F9" s="37" t="s">
        <v>121</v>
      </c>
      <c r="G9" s="35" t="s">
        <v>184</v>
      </c>
      <c r="H9" s="130" t="s">
        <v>256</v>
      </c>
      <c r="I9" s="4"/>
    </row>
    <row r="10" spans="1:9" s="4" customFormat="1" ht="64.5" thickBot="1" x14ac:dyDescent="0.25">
      <c r="B10" s="155" t="s">
        <v>125</v>
      </c>
      <c r="C10" s="172">
        <v>8</v>
      </c>
      <c r="D10" s="169" t="s">
        <v>152</v>
      </c>
      <c r="E10" s="156" t="s">
        <v>128</v>
      </c>
      <c r="F10" s="157" t="s">
        <v>121</v>
      </c>
      <c r="G10" s="134" t="s">
        <v>254</v>
      </c>
      <c r="H10" s="130" t="s">
        <v>290</v>
      </c>
    </row>
    <row r="11" spans="1:9" s="4" customFormat="1" ht="16.5" thickBot="1" x14ac:dyDescent="0.25">
      <c r="B11" s="155" t="s">
        <v>129</v>
      </c>
      <c r="C11" s="245">
        <v>2</v>
      </c>
      <c r="D11" s="246" t="s">
        <v>149</v>
      </c>
      <c r="E11" s="247" t="s">
        <v>122</v>
      </c>
      <c r="F11" s="90" t="s">
        <v>121</v>
      </c>
      <c r="G11" s="248" t="s">
        <v>262</v>
      </c>
      <c r="H11" s="249" t="s">
        <v>257</v>
      </c>
    </row>
    <row r="12" spans="1:9" ht="16.5" thickBot="1" x14ac:dyDescent="0.25">
      <c r="A12" s="4"/>
      <c r="B12" s="190" t="s">
        <v>130</v>
      </c>
      <c r="C12" s="122">
        <v>8</v>
      </c>
      <c r="D12" s="123" t="s">
        <v>153</v>
      </c>
      <c r="E12" s="191" t="s">
        <v>190</v>
      </c>
      <c r="F12" s="89" t="s">
        <v>121</v>
      </c>
      <c r="G12" s="192" t="s">
        <v>262</v>
      </c>
      <c r="H12" s="131" t="s">
        <v>258</v>
      </c>
    </row>
    <row r="13" spans="1:9" s="4" customFormat="1" ht="15.75" thickBot="1" x14ac:dyDescent="0.25">
      <c r="B13" s="204" t="s">
        <v>99</v>
      </c>
      <c r="C13" s="205">
        <v>4</v>
      </c>
      <c r="D13" s="206" t="s">
        <v>299</v>
      </c>
      <c r="E13" s="207" t="s">
        <v>115</v>
      </c>
      <c r="F13" s="208" t="s">
        <v>121</v>
      </c>
      <c r="G13" s="209" t="s">
        <v>300</v>
      </c>
      <c r="H13" s="131" t="s">
        <v>301</v>
      </c>
    </row>
    <row r="14" spans="1:9" x14ac:dyDescent="0.2">
      <c r="A14" s="4"/>
      <c r="B14" s="5"/>
      <c r="C14" s="5"/>
      <c r="D14" s="5"/>
      <c r="E14" s="5"/>
      <c r="F14" s="5"/>
      <c r="G14" s="5"/>
      <c r="H14" s="4"/>
    </row>
    <row r="15" spans="1:9" ht="20.25" x14ac:dyDescent="0.3">
      <c r="A15" s="4"/>
      <c r="B15" s="187" t="s">
        <v>280</v>
      </c>
      <c r="C15" s="112"/>
      <c r="D15" s="112"/>
      <c r="E15" s="112"/>
      <c r="F15" s="112"/>
      <c r="G15" s="112"/>
      <c r="H15" s="4"/>
    </row>
    <row r="16" spans="1:9" s="4" customFormat="1" ht="30" customHeight="1" x14ac:dyDescent="0.2">
      <c r="B16" s="300" t="s">
        <v>276</v>
      </c>
      <c r="C16" s="302"/>
      <c r="D16" s="302"/>
      <c r="E16" s="302"/>
      <c r="F16" s="302"/>
      <c r="G16" s="302"/>
    </row>
    <row r="17" spans="1:8" ht="13.5" thickBot="1" x14ac:dyDescent="0.25">
      <c r="A17" s="4"/>
      <c r="B17" s="5"/>
      <c r="C17" s="5"/>
      <c r="D17" s="5"/>
      <c r="E17" s="5"/>
      <c r="F17" s="5"/>
      <c r="G17" s="5"/>
      <c r="H17" s="4"/>
    </row>
    <row r="18" spans="1:8" ht="16.5" thickBot="1" x14ac:dyDescent="0.25">
      <c r="A18" s="4"/>
      <c r="B18" s="1" t="s">
        <v>10</v>
      </c>
      <c r="C18" s="2" t="s">
        <v>11</v>
      </c>
      <c r="D18" s="3" t="s">
        <v>12</v>
      </c>
      <c r="E18" s="2" t="s">
        <v>13</v>
      </c>
      <c r="F18" s="2" t="s">
        <v>6</v>
      </c>
      <c r="G18" s="2" t="s">
        <v>14</v>
      </c>
      <c r="H18" s="129" t="s">
        <v>192</v>
      </c>
    </row>
    <row r="19" spans="1:8" ht="26.25" thickBot="1" x14ac:dyDescent="0.25">
      <c r="A19" s="4"/>
      <c r="B19" s="124" t="s">
        <v>0</v>
      </c>
      <c r="C19" s="117">
        <v>8</v>
      </c>
      <c r="D19" s="39" t="s">
        <v>31</v>
      </c>
      <c r="E19" s="125" t="str">
        <f>E7</f>
        <v>TMOAKZ01</v>
      </c>
      <c r="F19" s="126" t="s">
        <v>16</v>
      </c>
      <c r="G19" s="158" t="s">
        <v>252</v>
      </c>
      <c r="H19" s="130" t="s">
        <v>203</v>
      </c>
    </row>
    <row r="20" spans="1:8" ht="26.25" thickBot="1" x14ac:dyDescent="0.25">
      <c r="A20" s="4"/>
      <c r="B20" s="127" t="s">
        <v>1</v>
      </c>
      <c r="C20" s="119">
        <v>8</v>
      </c>
      <c r="D20" s="39" t="s">
        <v>32</v>
      </c>
      <c r="E20" s="118" t="str">
        <f>E6</f>
        <v>WAS_0110</v>
      </c>
      <c r="F20" s="37" t="s">
        <v>16</v>
      </c>
      <c r="G20" s="91" t="s">
        <v>260</v>
      </c>
      <c r="H20" s="130" t="s">
        <v>202</v>
      </c>
    </row>
    <row r="21" spans="1:8" ht="26.25" thickBot="1" x14ac:dyDescent="0.25">
      <c r="A21" s="4"/>
      <c r="B21" s="127" t="s">
        <v>2</v>
      </c>
      <c r="C21" s="119">
        <v>8</v>
      </c>
      <c r="D21" s="39" t="s">
        <v>5</v>
      </c>
      <c r="E21" s="120" t="s">
        <v>191</v>
      </c>
      <c r="F21" s="37" t="s">
        <v>16</v>
      </c>
      <c r="G21" s="177" t="s">
        <v>15</v>
      </c>
      <c r="H21" s="130" t="s">
        <v>201</v>
      </c>
    </row>
    <row r="22" spans="1:8" ht="26.25" thickBot="1" x14ac:dyDescent="0.25">
      <c r="A22" s="4"/>
      <c r="B22" s="250" t="s">
        <v>3</v>
      </c>
      <c r="C22" s="243">
        <v>4</v>
      </c>
      <c r="D22" s="218" t="s">
        <v>7</v>
      </c>
      <c r="E22" s="244" t="s">
        <v>183</v>
      </c>
      <c r="F22" s="220" t="s">
        <v>16</v>
      </c>
      <c r="G22" s="177" t="s">
        <v>253</v>
      </c>
      <c r="H22" s="130" t="s">
        <v>205</v>
      </c>
    </row>
    <row r="23" spans="1:8" s="4" customFormat="1" ht="64.5" thickBot="1" x14ac:dyDescent="0.25">
      <c r="B23" s="216" t="s">
        <v>125</v>
      </c>
      <c r="C23" s="217">
        <v>8</v>
      </c>
      <c r="D23" s="218" t="s">
        <v>152</v>
      </c>
      <c r="E23" s="219" t="s">
        <v>128</v>
      </c>
      <c r="F23" s="220" t="s">
        <v>121</v>
      </c>
      <c r="G23" s="91" t="s">
        <v>254</v>
      </c>
      <c r="H23" s="130" t="s">
        <v>290</v>
      </c>
    </row>
    <row r="24" spans="1:8" s="4" customFormat="1" ht="15.75" thickBot="1" x14ac:dyDescent="0.25">
      <c r="B24" s="229" t="s">
        <v>129</v>
      </c>
      <c r="C24" s="230">
        <v>2</v>
      </c>
      <c r="D24" s="231" t="s">
        <v>299</v>
      </c>
      <c r="E24" s="232" t="s">
        <v>113</v>
      </c>
      <c r="F24" s="233" t="s">
        <v>121</v>
      </c>
      <c r="G24" s="234" t="s">
        <v>300</v>
      </c>
      <c r="H24" s="235" t="s">
        <v>305</v>
      </c>
    </row>
    <row r="25" spans="1:8" s="4" customFormat="1" ht="15.75" thickBot="1" x14ac:dyDescent="0.25">
      <c r="B25" s="236" t="s">
        <v>130</v>
      </c>
      <c r="C25" s="237">
        <v>8</v>
      </c>
      <c r="D25" s="238" t="s">
        <v>299</v>
      </c>
      <c r="E25" s="239" t="s">
        <v>114</v>
      </c>
      <c r="F25" s="240" t="s">
        <v>121</v>
      </c>
      <c r="G25" s="241" t="s">
        <v>300</v>
      </c>
      <c r="H25" s="131" t="s">
        <v>301</v>
      </c>
    </row>
    <row r="26" spans="1:8" ht="26.25" thickBot="1" x14ac:dyDescent="0.25">
      <c r="A26" s="4"/>
      <c r="B26" s="88" t="s">
        <v>99</v>
      </c>
      <c r="C26" s="78">
        <v>4</v>
      </c>
      <c r="D26" s="79" t="s">
        <v>105</v>
      </c>
      <c r="E26" s="83" t="s">
        <v>186</v>
      </c>
      <c r="F26" s="84" t="s">
        <v>185</v>
      </c>
      <c r="G26" s="85" t="s">
        <v>325</v>
      </c>
      <c r="H26" s="131" t="s">
        <v>206</v>
      </c>
    </row>
    <row r="27" spans="1:8" ht="15.75" x14ac:dyDescent="0.2">
      <c r="A27" s="6"/>
      <c r="B27" s="114"/>
      <c r="C27" s="114"/>
      <c r="D27" s="114"/>
      <c r="E27" s="115"/>
      <c r="F27" s="114"/>
      <c r="G27" s="114"/>
      <c r="H27" s="114"/>
    </row>
    <row r="29" spans="1:8" x14ac:dyDescent="0.2">
      <c r="B29" s="182" t="s">
        <v>326</v>
      </c>
      <c r="C29" s="182"/>
      <c r="D29" s="182"/>
      <c r="E29" s="182"/>
      <c r="F29" s="183"/>
      <c r="G29" s="180"/>
    </row>
    <row r="30" spans="1:8" x14ac:dyDescent="0.2">
      <c r="B30" s="181" t="s">
        <v>327</v>
      </c>
      <c r="C30" s="180"/>
      <c r="D30" s="180"/>
      <c r="E30" s="180"/>
      <c r="F30" s="180"/>
      <c r="G30" s="180"/>
    </row>
    <row r="31" spans="1:8" x14ac:dyDescent="0.2">
      <c r="B31" s="181" t="s">
        <v>328</v>
      </c>
      <c r="C31" s="180"/>
      <c r="D31" s="180"/>
      <c r="E31" s="180"/>
      <c r="F31" s="180"/>
      <c r="G31" s="180"/>
    </row>
  </sheetData>
  <mergeCells count="2">
    <mergeCell ref="B3:G3"/>
    <mergeCell ref="B16:G16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1:H26"/>
  <sheetViews>
    <sheetView showGridLines="0" zoomScale="90" zoomScaleNormal="90" workbookViewId="0">
      <selection activeCell="E29" sqref="E29"/>
    </sheetView>
  </sheetViews>
  <sheetFormatPr baseColWidth="10" defaultRowHeight="12.75" x14ac:dyDescent="0.2"/>
  <cols>
    <col min="1" max="1" width="4.5703125" customWidth="1"/>
    <col min="2" max="2" width="12" bestFit="1" customWidth="1"/>
    <col min="3" max="3" width="10" bestFit="1" customWidth="1"/>
    <col min="4" max="4" width="16.28515625" bestFit="1" customWidth="1"/>
    <col min="5" max="5" width="24.5703125" customWidth="1"/>
    <col min="6" max="6" width="18" customWidth="1"/>
    <col min="7" max="7" width="47.85546875" customWidth="1"/>
    <col min="8" max="8" width="41.7109375" style="4" hidden="1" customWidth="1"/>
  </cols>
  <sheetData>
    <row r="1" spans="2:8" s="4" customFormat="1" x14ac:dyDescent="0.2"/>
    <row r="2" spans="2:8" s="4" customFormat="1" ht="20.25" x14ac:dyDescent="0.3">
      <c r="B2" s="187" t="s">
        <v>278</v>
      </c>
    </row>
    <row r="3" spans="2:8" ht="27" customHeight="1" x14ac:dyDescent="0.2">
      <c r="B3" s="300" t="s">
        <v>197</v>
      </c>
      <c r="C3" s="302"/>
      <c r="D3" s="302"/>
      <c r="E3" s="302"/>
      <c r="F3" s="302"/>
      <c r="G3" s="302"/>
      <c r="H3" s="133"/>
    </row>
    <row r="4" spans="2:8" s="4" customFormat="1" ht="13.5" thickBot="1" x14ac:dyDescent="0.25"/>
    <row r="5" spans="2:8" ht="16.5" thickBot="1" x14ac:dyDescent="0.25">
      <c r="B5" s="1" t="s">
        <v>10</v>
      </c>
      <c r="C5" s="2" t="s">
        <v>11</v>
      </c>
      <c r="D5" s="3" t="s">
        <v>12</v>
      </c>
      <c r="E5" s="2" t="s">
        <v>13</v>
      </c>
      <c r="F5" s="2" t="s">
        <v>6</v>
      </c>
      <c r="G5" s="2" t="s">
        <v>14</v>
      </c>
      <c r="H5" s="129" t="s">
        <v>192</v>
      </c>
    </row>
    <row r="6" spans="2:8" ht="26.25" thickBot="1" x14ac:dyDescent="0.25">
      <c r="B6" s="116" t="s">
        <v>0</v>
      </c>
      <c r="C6" s="117">
        <v>8</v>
      </c>
      <c r="D6" s="39" t="s">
        <v>31</v>
      </c>
      <c r="E6" s="118" t="str">
        <f>Filled_by_requestor!C21</f>
        <v>WAS_0110</v>
      </c>
      <c r="F6" s="37" t="s">
        <v>16</v>
      </c>
      <c r="G6" s="91" t="s">
        <v>251</v>
      </c>
      <c r="H6" s="130" t="s">
        <v>202</v>
      </c>
    </row>
    <row r="7" spans="2:8" ht="39" thickBot="1" x14ac:dyDescent="0.25">
      <c r="B7" s="42" t="s">
        <v>1</v>
      </c>
      <c r="C7" s="119">
        <v>8</v>
      </c>
      <c r="D7" s="39" t="s">
        <v>32</v>
      </c>
      <c r="E7" s="118" t="str">
        <f>Filled_by_requestor!H12</f>
        <v>TMOAKZ01</v>
      </c>
      <c r="F7" s="37" t="s">
        <v>16</v>
      </c>
      <c r="G7" s="158" t="s">
        <v>252</v>
      </c>
      <c r="H7" s="130" t="s">
        <v>203</v>
      </c>
    </row>
    <row r="8" spans="2:8" ht="26.25" thickBot="1" x14ac:dyDescent="0.25">
      <c r="B8" s="42" t="s">
        <v>2</v>
      </c>
      <c r="C8" s="119">
        <v>8</v>
      </c>
      <c r="D8" s="39" t="s">
        <v>5</v>
      </c>
      <c r="E8" s="120" t="s">
        <v>195</v>
      </c>
      <c r="F8" s="37" t="s">
        <v>16</v>
      </c>
      <c r="G8" s="91" t="s">
        <v>15</v>
      </c>
      <c r="H8" s="130" t="s">
        <v>201</v>
      </c>
    </row>
    <row r="9" spans="2:8" ht="39" thickBot="1" x14ac:dyDescent="0.25">
      <c r="B9" s="216" t="s">
        <v>3</v>
      </c>
      <c r="C9" s="243">
        <v>4</v>
      </c>
      <c r="D9" s="218" t="s">
        <v>7</v>
      </c>
      <c r="E9" s="244" t="s">
        <v>183</v>
      </c>
      <c r="F9" s="220" t="s">
        <v>16</v>
      </c>
      <c r="G9" s="251" t="s">
        <v>253</v>
      </c>
      <c r="H9" s="130" t="s">
        <v>200</v>
      </c>
    </row>
    <row r="10" spans="2:8" s="4" customFormat="1" ht="16.5" thickBot="1" x14ac:dyDescent="0.25">
      <c r="B10" s="257" t="s">
        <v>125</v>
      </c>
      <c r="C10" s="254">
        <v>8</v>
      </c>
      <c r="D10" s="255" t="s">
        <v>299</v>
      </c>
      <c r="E10" s="256" t="s">
        <v>114</v>
      </c>
      <c r="F10" s="233" t="s">
        <v>121</v>
      </c>
      <c r="G10" s="234" t="s">
        <v>300</v>
      </c>
      <c r="H10" s="235" t="s">
        <v>306</v>
      </c>
    </row>
    <row r="11" spans="2:8" s="4" customFormat="1" ht="16.5" thickBot="1" x14ac:dyDescent="0.25">
      <c r="B11" s="223" t="s">
        <v>129</v>
      </c>
      <c r="C11" s="252">
        <v>2</v>
      </c>
      <c r="D11" s="224" t="s">
        <v>299</v>
      </c>
      <c r="E11" s="253" t="s">
        <v>113</v>
      </c>
      <c r="F11" s="221" t="s">
        <v>121</v>
      </c>
      <c r="G11" s="222" t="s">
        <v>300</v>
      </c>
      <c r="H11" s="235" t="s">
        <v>305</v>
      </c>
    </row>
    <row r="12" spans="2:8" s="4" customFormat="1" ht="16.5" thickBot="1" x14ac:dyDescent="0.25">
      <c r="B12" s="223" t="s">
        <v>130</v>
      </c>
      <c r="C12" s="252">
        <v>8</v>
      </c>
      <c r="D12" s="224" t="s">
        <v>299</v>
      </c>
      <c r="E12" s="253" t="s">
        <v>114</v>
      </c>
      <c r="F12" s="221" t="s">
        <v>121</v>
      </c>
      <c r="G12" s="222" t="s">
        <v>300</v>
      </c>
      <c r="H12" s="130" t="s">
        <v>306</v>
      </c>
    </row>
    <row r="13" spans="2:8" s="4" customFormat="1" ht="16.5" thickBot="1" x14ac:dyDescent="0.25">
      <c r="B13" s="236" t="s">
        <v>99</v>
      </c>
      <c r="C13" s="258">
        <v>4</v>
      </c>
      <c r="D13" s="238" t="s">
        <v>299</v>
      </c>
      <c r="E13" s="259" t="s">
        <v>115</v>
      </c>
      <c r="F13" s="240" t="s">
        <v>121</v>
      </c>
      <c r="G13" s="241" t="s">
        <v>300</v>
      </c>
      <c r="H13" s="131" t="s">
        <v>301</v>
      </c>
    </row>
    <row r="14" spans="2:8" s="6" customFormat="1" ht="15.75" x14ac:dyDescent="0.2">
      <c r="B14" s="163"/>
      <c r="C14" s="194"/>
      <c r="D14" s="162"/>
      <c r="E14" s="195"/>
      <c r="F14" s="185"/>
      <c r="G14" s="196"/>
      <c r="H14" s="164"/>
    </row>
    <row r="15" spans="2:8" ht="20.25" x14ac:dyDescent="0.3">
      <c r="B15" s="187" t="s">
        <v>279</v>
      </c>
      <c r="C15" s="4"/>
      <c r="D15" s="4"/>
      <c r="E15" s="4"/>
      <c r="F15" s="4"/>
      <c r="G15" s="4"/>
      <c r="H15" s="113"/>
    </row>
    <row r="16" spans="2:8" ht="13.5" thickBot="1" x14ac:dyDescent="0.25"/>
    <row r="17" spans="2:8" ht="16.5" thickBot="1" x14ac:dyDescent="0.25">
      <c r="B17" s="1" t="s">
        <v>10</v>
      </c>
      <c r="C17" s="2" t="s">
        <v>11</v>
      </c>
      <c r="D17" s="3" t="s">
        <v>12</v>
      </c>
      <c r="E17" s="2" t="s">
        <v>13</v>
      </c>
      <c r="F17" s="2" t="s">
        <v>6</v>
      </c>
      <c r="G17" s="2" t="s">
        <v>14</v>
      </c>
      <c r="H17" s="129" t="s">
        <v>192</v>
      </c>
    </row>
    <row r="18" spans="2:8" ht="39" thickBot="1" x14ac:dyDescent="0.25">
      <c r="B18" s="116" t="s">
        <v>0</v>
      </c>
      <c r="C18" s="117">
        <v>8</v>
      </c>
      <c r="D18" s="39" t="s">
        <v>31</v>
      </c>
      <c r="E18" s="118" t="str">
        <f>Filled_by_requestor!G29</f>
        <v>TMOAKZ01</v>
      </c>
      <c r="F18" s="37" t="s">
        <v>16</v>
      </c>
      <c r="G18" s="158" t="s">
        <v>252</v>
      </c>
      <c r="H18" s="130" t="s">
        <v>203</v>
      </c>
    </row>
    <row r="19" spans="2:8" ht="26.25" thickBot="1" x14ac:dyDescent="0.25">
      <c r="B19" s="42" t="s">
        <v>1</v>
      </c>
      <c r="C19" s="119">
        <v>8</v>
      </c>
      <c r="D19" s="39" t="s">
        <v>32</v>
      </c>
      <c r="E19" s="118" t="str">
        <f>Filled_by_requestor!C21</f>
        <v>WAS_0110</v>
      </c>
      <c r="F19" s="37" t="s">
        <v>16</v>
      </c>
      <c r="G19" s="91" t="s">
        <v>260</v>
      </c>
      <c r="H19" s="130" t="s">
        <v>202</v>
      </c>
    </row>
    <row r="20" spans="2:8" ht="26.25" thickBot="1" x14ac:dyDescent="0.25">
      <c r="B20" s="42" t="s">
        <v>2</v>
      </c>
      <c r="C20" s="119">
        <v>8</v>
      </c>
      <c r="D20" s="39" t="s">
        <v>5</v>
      </c>
      <c r="E20" s="120" t="s">
        <v>196</v>
      </c>
      <c r="F20" s="37" t="s">
        <v>16</v>
      </c>
      <c r="G20" s="91" t="s">
        <v>15</v>
      </c>
      <c r="H20" s="130" t="s">
        <v>201</v>
      </c>
    </row>
    <row r="21" spans="2:8" ht="39" thickBot="1" x14ac:dyDescent="0.25">
      <c r="B21" s="42" t="s">
        <v>3</v>
      </c>
      <c r="C21" s="119">
        <v>4</v>
      </c>
      <c r="D21" s="39" t="s">
        <v>7</v>
      </c>
      <c r="E21" s="120" t="s">
        <v>183</v>
      </c>
      <c r="F21" s="37" t="s">
        <v>16</v>
      </c>
      <c r="G21" s="177" t="s">
        <v>253</v>
      </c>
      <c r="H21" s="130" t="s">
        <v>200</v>
      </c>
    </row>
    <row r="22" spans="2:8" s="4" customFormat="1" ht="16.5" thickBot="1" x14ac:dyDescent="0.25">
      <c r="B22" s="257" t="s">
        <v>125</v>
      </c>
      <c r="C22" s="254">
        <v>8</v>
      </c>
      <c r="D22" s="255" t="s">
        <v>299</v>
      </c>
      <c r="E22" s="256" t="s">
        <v>114</v>
      </c>
      <c r="F22" s="233" t="s">
        <v>121</v>
      </c>
      <c r="G22" s="234" t="s">
        <v>300</v>
      </c>
      <c r="H22" s="242" t="s">
        <v>306</v>
      </c>
    </row>
    <row r="23" spans="2:8" s="4" customFormat="1" ht="16.5" thickBot="1" x14ac:dyDescent="0.25">
      <c r="B23" s="223" t="s">
        <v>129</v>
      </c>
      <c r="C23" s="252">
        <v>2</v>
      </c>
      <c r="D23" s="224" t="s">
        <v>299</v>
      </c>
      <c r="E23" s="253" t="s">
        <v>113</v>
      </c>
      <c r="F23" s="221" t="s">
        <v>121</v>
      </c>
      <c r="G23" s="222" t="s">
        <v>300</v>
      </c>
      <c r="H23" s="235" t="s">
        <v>305</v>
      </c>
    </row>
    <row r="24" spans="2:8" s="4" customFormat="1" ht="16.5" thickBot="1" x14ac:dyDescent="0.25">
      <c r="B24" s="236" t="s">
        <v>130</v>
      </c>
      <c r="C24" s="258">
        <v>8</v>
      </c>
      <c r="D24" s="238" t="s">
        <v>299</v>
      </c>
      <c r="E24" s="259" t="s">
        <v>114</v>
      </c>
      <c r="F24" s="240" t="s">
        <v>121</v>
      </c>
      <c r="G24" s="241" t="s">
        <v>300</v>
      </c>
      <c r="H24" s="131" t="s">
        <v>306</v>
      </c>
    </row>
    <row r="25" spans="2:8" ht="16.5" customHeight="1" thickBot="1" x14ac:dyDescent="0.25">
      <c r="B25" s="154" t="s">
        <v>99</v>
      </c>
      <c r="C25" s="260">
        <v>4</v>
      </c>
      <c r="D25" s="226" t="s">
        <v>105</v>
      </c>
      <c r="E25" s="261" t="s">
        <v>106</v>
      </c>
      <c r="F25" s="159" t="s">
        <v>17</v>
      </c>
      <c r="G25" s="160" t="s">
        <v>277</v>
      </c>
      <c r="H25" s="131" t="s">
        <v>204</v>
      </c>
    </row>
    <row r="26" spans="2:8" ht="15" x14ac:dyDescent="0.2">
      <c r="H26" s="114"/>
    </row>
  </sheetData>
  <mergeCells count="1">
    <mergeCell ref="B3:G3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B2:G25"/>
  <sheetViews>
    <sheetView showGridLines="0" zoomScale="90" zoomScaleNormal="90" workbookViewId="0">
      <selection activeCell="G31" sqref="G31"/>
    </sheetView>
  </sheetViews>
  <sheetFormatPr baseColWidth="10" defaultColWidth="11.42578125" defaultRowHeight="12.75" x14ac:dyDescent="0.2"/>
  <cols>
    <col min="1" max="1" width="4.5703125" style="4" customWidth="1"/>
    <col min="2" max="2" width="14.5703125" style="4" customWidth="1"/>
    <col min="3" max="3" width="10" style="4" bestFit="1" customWidth="1"/>
    <col min="4" max="4" width="16.28515625" style="4" bestFit="1" customWidth="1"/>
    <col min="5" max="5" width="24.5703125" style="4" customWidth="1"/>
    <col min="6" max="6" width="18" style="4" customWidth="1"/>
    <col min="7" max="7" width="47.85546875" style="4" customWidth="1"/>
    <col min="8" max="16384" width="11.42578125" style="4"/>
  </cols>
  <sheetData>
    <row r="2" spans="2:7" ht="20.25" x14ac:dyDescent="0.3">
      <c r="B2" s="187" t="s">
        <v>281</v>
      </c>
    </row>
    <row r="3" spans="2:7" ht="27" customHeight="1" x14ac:dyDescent="0.2">
      <c r="B3" s="300" t="s">
        <v>199</v>
      </c>
      <c r="C3" s="302"/>
      <c r="D3" s="302"/>
      <c r="E3" s="302"/>
      <c r="F3" s="302"/>
      <c r="G3" s="302"/>
    </row>
    <row r="4" spans="2:7" ht="13.5" thickBot="1" x14ac:dyDescent="0.25"/>
    <row r="5" spans="2:7" ht="16.5" thickBot="1" x14ac:dyDescent="0.25">
      <c r="B5" s="1" t="s">
        <v>10</v>
      </c>
      <c r="C5" s="2" t="s">
        <v>11</v>
      </c>
      <c r="D5" s="3" t="s">
        <v>12</v>
      </c>
      <c r="E5" s="2" t="s">
        <v>13</v>
      </c>
      <c r="F5" s="2" t="s">
        <v>6</v>
      </c>
      <c r="G5" s="2" t="s">
        <v>14</v>
      </c>
    </row>
    <row r="6" spans="2:7" ht="39" thickBot="1" x14ac:dyDescent="0.25">
      <c r="B6" s="116" t="s">
        <v>0</v>
      </c>
      <c r="C6" s="117">
        <v>8</v>
      </c>
      <c r="D6" s="39" t="s">
        <v>31</v>
      </c>
      <c r="E6" s="118" t="str">
        <f>Filled_by_requestor!H12</f>
        <v>TMOAKZ01</v>
      </c>
      <c r="F6" s="37" t="s">
        <v>16</v>
      </c>
      <c r="G6" s="158" t="s">
        <v>252</v>
      </c>
    </row>
    <row r="7" spans="2:7" ht="26.25" thickBot="1" x14ac:dyDescent="0.25">
      <c r="B7" s="42" t="s">
        <v>1</v>
      </c>
      <c r="C7" s="119">
        <v>8</v>
      </c>
      <c r="D7" s="39" t="s">
        <v>32</v>
      </c>
      <c r="E7" s="118" t="str">
        <f>Filled_by_requestor!C21</f>
        <v>WAS_0110</v>
      </c>
      <c r="F7" s="37" t="s">
        <v>16</v>
      </c>
      <c r="G7" s="91" t="s">
        <v>260</v>
      </c>
    </row>
    <row r="8" spans="2:7" ht="26.25" thickBot="1" x14ac:dyDescent="0.25">
      <c r="B8" s="42" t="s">
        <v>2</v>
      </c>
      <c r="C8" s="119">
        <v>8</v>
      </c>
      <c r="D8" s="39" t="s">
        <v>5</v>
      </c>
      <c r="E8" s="120" t="s">
        <v>198</v>
      </c>
      <c r="F8" s="37" t="s">
        <v>16</v>
      </c>
      <c r="G8" s="91" t="s">
        <v>15</v>
      </c>
    </row>
    <row r="9" spans="2:7" ht="39" thickBot="1" x14ac:dyDescent="0.25">
      <c r="B9" s="88" t="s">
        <v>3</v>
      </c>
      <c r="C9" s="135">
        <v>4</v>
      </c>
      <c r="D9" s="79" t="s">
        <v>7</v>
      </c>
      <c r="E9" s="136" t="s">
        <v>183</v>
      </c>
      <c r="F9" s="89" t="s">
        <v>16</v>
      </c>
      <c r="G9" s="197" t="s">
        <v>253</v>
      </c>
    </row>
    <row r="10" spans="2:7" ht="16.5" thickBot="1" x14ac:dyDescent="0.25">
      <c r="B10" s="257" t="s">
        <v>125</v>
      </c>
      <c r="C10" s="254">
        <v>8</v>
      </c>
      <c r="D10" s="255" t="s">
        <v>299</v>
      </c>
      <c r="E10" s="256" t="s">
        <v>114</v>
      </c>
      <c r="F10" s="233" t="s">
        <v>121</v>
      </c>
      <c r="G10" s="234" t="s">
        <v>300</v>
      </c>
    </row>
    <row r="11" spans="2:7" ht="16.5" thickBot="1" x14ac:dyDescent="0.25">
      <c r="B11" s="223" t="s">
        <v>129</v>
      </c>
      <c r="C11" s="252">
        <v>2</v>
      </c>
      <c r="D11" s="224" t="s">
        <v>299</v>
      </c>
      <c r="E11" s="253" t="s">
        <v>113</v>
      </c>
      <c r="F11" s="221" t="s">
        <v>121</v>
      </c>
      <c r="G11" s="222" t="s">
        <v>300</v>
      </c>
    </row>
    <row r="12" spans="2:7" ht="16.5" thickBot="1" x14ac:dyDescent="0.25">
      <c r="B12" s="223" t="s">
        <v>130</v>
      </c>
      <c r="C12" s="252">
        <v>8</v>
      </c>
      <c r="D12" s="224" t="s">
        <v>299</v>
      </c>
      <c r="E12" s="253" t="s">
        <v>114</v>
      </c>
      <c r="F12" s="221" t="s">
        <v>121</v>
      </c>
      <c r="G12" s="222" t="s">
        <v>300</v>
      </c>
    </row>
    <row r="13" spans="2:7" ht="16.5" thickBot="1" x14ac:dyDescent="0.25">
      <c r="B13" s="236" t="s">
        <v>99</v>
      </c>
      <c r="C13" s="258">
        <v>4</v>
      </c>
      <c r="D13" s="238" t="s">
        <v>299</v>
      </c>
      <c r="E13" s="259" t="s">
        <v>115</v>
      </c>
      <c r="F13" s="240" t="s">
        <v>121</v>
      </c>
      <c r="G13" s="241" t="s">
        <v>300</v>
      </c>
    </row>
    <row r="14" spans="2:7" ht="18.75" customHeight="1" x14ac:dyDescent="0.2"/>
    <row r="15" spans="2:7" ht="20.25" x14ac:dyDescent="0.3">
      <c r="B15" s="187" t="s">
        <v>282</v>
      </c>
    </row>
    <row r="16" spans="2:7" ht="13.5" thickBot="1" x14ac:dyDescent="0.25">
      <c r="B16" s="300"/>
      <c r="C16" s="302"/>
      <c r="D16" s="302"/>
      <c r="E16" s="302"/>
      <c r="F16" s="302"/>
      <c r="G16" s="302"/>
    </row>
    <row r="17" spans="2:7" ht="16.5" thickBot="1" x14ac:dyDescent="0.25">
      <c r="B17" s="1" t="s">
        <v>10</v>
      </c>
      <c r="C17" s="2" t="s">
        <v>11</v>
      </c>
      <c r="D17" s="3" t="s">
        <v>12</v>
      </c>
      <c r="E17" s="2" t="s">
        <v>13</v>
      </c>
      <c r="F17" s="2" t="s">
        <v>6</v>
      </c>
      <c r="G17" s="2" t="s">
        <v>14</v>
      </c>
    </row>
    <row r="18" spans="2:7" ht="26.25" thickBot="1" x14ac:dyDescent="0.25">
      <c r="B18" s="116" t="s">
        <v>0</v>
      </c>
      <c r="C18" s="117">
        <v>8</v>
      </c>
      <c r="D18" s="39" t="s">
        <v>31</v>
      </c>
      <c r="E18" s="118" t="str">
        <f>Filled_by_requestor!C21</f>
        <v>WAS_0110</v>
      </c>
      <c r="F18" s="37" t="s">
        <v>16</v>
      </c>
      <c r="G18" s="91" t="s">
        <v>251</v>
      </c>
    </row>
    <row r="19" spans="2:7" ht="39" thickBot="1" x14ac:dyDescent="0.25">
      <c r="B19" s="42" t="s">
        <v>1</v>
      </c>
      <c r="C19" s="119">
        <v>8</v>
      </c>
      <c r="D19" s="39" t="s">
        <v>32</v>
      </c>
      <c r="E19" s="118" t="str">
        <f>Filled_by_requestor!H12</f>
        <v>TMOAKZ01</v>
      </c>
      <c r="F19" s="37" t="s">
        <v>16</v>
      </c>
      <c r="G19" s="158" t="s">
        <v>252</v>
      </c>
    </row>
    <row r="20" spans="2:7" ht="26.25" thickBot="1" x14ac:dyDescent="0.25">
      <c r="B20" s="42" t="s">
        <v>2</v>
      </c>
      <c r="C20" s="119">
        <v>8</v>
      </c>
      <c r="D20" s="39" t="s">
        <v>5</v>
      </c>
      <c r="E20" s="120" t="s">
        <v>207</v>
      </c>
      <c r="F20" s="37" t="s">
        <v>16</v>
      </c>
      <c r="G20" s="91" t="s">
        <v>15</v>
      </c>
    </row>
    <row r="21" spans="2:7" ht="39" thickBot="1" x14ac:dyDescent="0.25">
      <c r="B21" s="42" t="s">
        <v>3</v>
      </c>
      <c r="C21" s="119">
        <v>4</v>
      </c>
      <c r="D21" s="39" t="s">
        <v>7</v>
      </c>
      <c r="E21" s="120" t="s">
        <v>183</v>
      </c>
      <c r="F21" s="37" t="s">
        <v>16</v>
      </c>
      <c r="G21" s="91" t="s">
        <v>253</v>
      </c>
    </row>
    <row r="22" spans="2:7" ht="16.5" thickBot="1" x14ac:dyDescent="0.25">
      <c r="B22" s="257" t="s">
        <v>125</v>
      </c>
      <c r="C22" s="254">
        <v>8</v>
      </c>
      <c r="D22" s="255" t="s">
        <v>299</v>
      </c>
      <c r="E22" s="256" t="s">
        <v>114</v>
      </c>
      <c r="F22" s="233" t="s">
        <v>121</v>
      </c>
      <c r="G22" s="234" t="s">
        <v>300</v>
      </c>
    </row>
    <row r="23" spans="2:7" ht="16.5" thickBot="1" x14ac:dyDescent="0.25">
      <c r="B23" s="223" t="s">
        <v>129</v>
      </c>
      <c r="C23" s="252">
        <v>2</v>
      </c>
      <c r="D23" s="224" t="s">
        <v>299</v>
      </c>
      <c r="E23" s="253" t="s">
        <v>113</v>
      </c>
      <c r="F23" s="221" t="s">
        <v>121</v>
      </c>
      <c r="G23" s="222" t="s">
        <v>300</v>
      </c>
    </row>
    <row r="24" spans="2:7" ht="16.5" thickBot="1" x14ac:dyDescent="0.25">
      <c r="B24" s="236" t="s">
        <v>130</v>
      </c>
      <c r="C24" s="258">
        <v>8</v>
      </c>
      <c r="D24" s="238" t="s">
        <v>299</v>
      </c>
      <c r="E24" s="259" t="s">
        <v>114</v>
      </c>
      <c r="F24" s="240" t="s">
        <v>121</v>
      </c>
      <c r="G24" s="241" t="s">
        <v>300</v>
      </c>
    </row>
    <row r="25" spans="2:7" ht="16.5" thickBot="1" x14ac:dyDescent="0.25">
      <c r="B25" s="88" t="s">
        <v>99</v>
      </c>
      <c r="C25" s="135">
        <v>4</v>
      </c>
      <c r="D25" s="79" t="s">
        <v>105</v>
      </c>
      <c r="E25" s="136" t="s">
        <v>106</v>
      </c>
      <c r="F25" s="89" t="s">
        <v>17</v>
      </c>
      <c r="G25" s="85" t="s">
        <v>277</v>
      </c>
    </row>
  </sheetData>
  <mergeCells count="2">
    <mergeCell ref="B3:G3"/>
    <mergeCell ref="B16:G16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"/>
  <sheetViews>
    <sheetView showGridLines="0" workbookViewId="0">
      <selection activeCell="Q2" sqref="Q2"/>
    </sheetView>
  </sheetViews>
  <sheetFormatPr baseColWidth="10" defaultRowHeight="12.75" x14ac:dyDescent="0.2"/>
  <sheetData>
    <row r="2" spans="2:2" ht="20.25" x14ac:dyDescent="0.3">
      <c r="B2" s="7" t="s">
        <v>67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4"/>
  <sheetViews>
    <sheetView tabSelected="1" showWhiteSpace="0" zoomScale="130" zoomScaleNormal="130" workbookViewId="0">
      <selection activeCell="A10" sqref="A10:XFD10"/>
    </sheetView>
  </sheetViews>
  <sheetFormatPr baseColWidth="10" defaultColWidth="11.42578125" defaultRowHeight="15" x14ac:dyDescent="0.25"/>
  <cols>
    <col min="1" max="1" width="8.140625" style="139" customWidth="1"/>
    <col min="2" max="2" width="46.140625" style="139" customWidth="1"/>
    <col min="3" max="3" width="22.140625" style="139" customWidth="1"/>
    <col min="4" max="4" width="28.140625" style="146" customWidth="1"/>
    <col min="5" max="5" width="31.140625" style="146" customWidth="1"/>
    <col min="6" max="16384" width="11.42578125" style="139"/>
  </cols>
  <sheetData>
    <row r="1" spans="1:6" ht="15" customHeight="1" x14ac:dyDescent="0.25">
      <c r="A1" s="306" t="s">
        <v>208</v>
      </c>
      <c r="B1" s="307" t="s">
        <v>209</v>
      </c>
      <c r="C1" s="307"/>
      <c r="D1" s="307"/>
      <c r="E1" s="137" t="s">
        <v>225</v>
      </c>
      <c r="F1" s="138"/>
    </row>
    <row r="2" spans="1:6" ht="15" customHeight="1" x14ac:dyDescent="0.25">
      <c r="A2" s="306"/>
      <c r="B2" s="307" t="s">
        <v>210</v>
      </c>
      <c r="C2" s="307"/>
      <c r="D2" s="307"/>
      <c r="E2" s="137" t="s">
        <v>315</v>
      </c>
      <c r="F2" s="138"/>
    </row>
    <row r="3" spans="1:6" ht="15" customHeight="1" x14ac:dyDescent="0.25">
      <c r="A3" s="306"/>
      <c r="B3" s="308"/>
      <c r="C3" s="308"/>
      <c r="D3" s="308"/>
      <c r="E3" s="307" t="s">
        <v>211</v>
      </c>
      <c r="F3" s="138"/>
    </row>
    <row r="4" spans="1:6" ht="52.15" customHeight="1" x14ac:dyDescent="0.25">
      <c r="A4" s="306"/>
      <c r="B4" s="308"/>
      <c r="C4" s="308"/>
      <c r="D4" s="308"/>
      <c r="E4" s="307"/>
      <c r="F4" s="138"/>
    </row>
    <row r="5" spans="1:6" ht="33" customHeight="1" x14ac:dyDescent="0.25">
      <c r="A5" s="306"/>
      <c r="B5" s="309" t="s">
        <v>212</v>
      </c>
      <c r="C5" s="309"/>
      <c r="D5" s="309"/>
      <c r="E5" s="140" t="s">
        <v>213</v>
      </c>
      <c r="F5" s="138"/>
    </row>
    <row r="6" spans="1:6" x14ac:dyDescent="0.25">
      <c r="A6" s="303"/>
      <c r="B6" s="303"/>
      <c r="C6" s="303"/>
      <c r="D6" s="303"/>
      <c r="E6" s="303"/>
      <c r="F6" s="138"/>
    </row>
    <row r="7" spans="1:6" ht="15" customHeight="1" x14ac:dyDescent="0.25">
      <c r="A7" s="304"/>
      <c r="B7" s="304"/>
      <c r="C7" s="304"/>
      <c r="D7" s="304"/>
      <c r="E7" s="304"/>
      <c r="F7" s="138"/>
    </row>
    <row r="8" spans="1:6" x14ac:dyDescent="0.25">
      <c r="A8" s="305" t="s">
        <v>214</v>
      </c>
      <c r="B8" s="305"/>
      <c r="C8" s="305"/>
      <c r="D8" s="305"/>
      <c r="E8" s="305"/>
      <c r="F8" s="138"/>
    </row>
    <row r="9" spans="1:6" ht="39" x14ac:dyDescent="0.25">
      <c r="A9" s="141" t="s">
        <v>215</v>
      </c>
      <c r="B9" s="142" t="s">
        <v>216</v>
      </c>
      <c r="C9" s="141" t="s">
        <v>217</v>
      </c>
      <c r="D9" s="141" t="s">
        <v>218</v>
      </c>
      <c r="E9" s="141" t="s">
        <v>219</v>
      </c>
      <c r="F9" s="138"/>
    </row>
    <row r="10" spans="1:6" s="314" customFormat="1" x14ac:dyDescent="0.25">
      <c r="A10" s="310" t="s">
        <v>312</v>
      </c>
      <c r="B10" s="311" t="s">
        <v>313</v>
      </c>
      <c r="C10" s="311" t="s">
        <v>314</v>
      </c>
      <c r="D10" s="312"/>
      <c r="E10" s="310"/>
      <c r="F10" s="313"/>
    </row>
    <row r="11" spans="1:6" s="152" customFormat="1" ht="22.5" x14ac:dyDescent="0.25">
      <c r="A11" s="263" t="s">
        <v>320</v>
      </c>
      <c r="B11" s="143" t="s">
        <v>321</v>
      </c>
      <c r="C11" s="143" t="s">
        <v>322</v>
      </c>
      <c r="D11" s="199"/>
      <c r="E11" s="153"/>
      <c r="F11" s="151"/>
    </row>
    <row r="12" spans="1:6" s="152" customFormat="1" ht="33.75" x14ac:dyDescent="0.25">
      <c r="A12" s="153" t="s">
        <v>307</v>
      </c>
      <c r="B12" s="143" t="s">
        <v>310</v>
      </c>
      <c r="C12" s="143" t="s">
        <v>308</v>
      </c>
      <c r="D12" s="199"/>
      <c r="E12" s="153"/>
      <c r="F12" s="151"/>
    </row>
    <row r="13" spans="1:6" s="152" customFormat="1" x14ac:dyDescent="0.25">
      <c r="A13" s="153" t="s">
        <v>283</v>
      </c>
      <c r="B13" s="143" t="s">
        <v>284</v>
      </c>
      <c r="C13" s="143" t="s">
        <v>285</v>
      </c>
      <c r="D13" s="199"/>
      <c r="E13" s="153"/>
      <c r="F13" s="151"/>
    </row>
    <row r="14" spans="1:6" s="152" customFormat="1" ht="22.5" x14ac:dyDescent="0.25">
      <c r="A14" s="153"/>
      <c r="B14" s="143" t="s">
        <v>244</v>
      </c>
      <c r="C14" s="143" t="s">
        <v>243</v>
      </c>
      <c r="D14" s="153"/>
      <c r="E14" s="153"/>
      <c r="F14" s="151"/>
    </row>
    <row r="15" spans="1:6" ht="22.15" customHeight="1" x14ac:dyDescent="0.25">
      <c r="A15" s="147" t="s">
        <v>220</v>
      </c>
      <c r="B15" s="143" t="s">
        <v>221</v>
      </c>
      <c r="C15" s="143" t="s">
        <v>222</v>
      </c>
      <c r="D15" s="143" t="s">
        <v>223</v>
      </c>
      <c r="E15" s="143" t="s">
        <v>224</v>
      </c>
      <c r="F15" s="138"/>
    </row>
    <row r="16" spans="1:6" ht="45" x14ac:dyDescent="0.25">
      <c r="A16" s="148" t="s">
        <v>242</v>
      </c>
      <c r="B16" s="143" t="s">
        <v>193</v>
      </c>
      <c r="C16" s="143" t="s">
        <v>234</v>
      </c>
      <c r="D16" s="145"/>
      <c r="E16" s="145"/>
    </row>
    <row r="17" spans="1:6" x14ac:dyDescent="0.25">
      <c r="A17" s="148" t="s">
        <v>241</v>
      </c>
      <c r="B17" s="143" t="s">
        <v>188</v>
      </c>
      <c r="C17" s="143" t="s">
        <v>233</v>
      </c>
      <c r="D17" s="145"/>
      <c r="E17" s="145"/>
    </row>
    <row r="18" spans="1:6" ht="22.5" x14ac:dyDescent="0.25">
      <c r="A18" s="148" t="s">
        <v>240</v>
      </c>
      <c r="B18" s="143" t="s">
        <v>187</v>
      </c>
      <c r="C18" s="143" t="s">
        <v>232</v>
      </c>
      <c r="D18" s="145"/>
      <c r="E18" s="145"/>
    </row>
    <row r="19" spans="1:6" ht="22.15" customHeight="1" x14ac:dyDescent="0.25">
      <c r="A19" s="148" t="s">
        <v>239</v>
      </c>
      <c r="B19" s="145" t="s">
        <v>181</v>
      </c>
      <c r="C19" s="143" t="s">
        <v>231</v>
      </c>
      <c r="D19" s="145"/>
      <c r="E19" s="145"/>
    </row>
    <row r="20" spans="1:6" ht="22.15" customHeight="1" x14ac:dyDescent="0.25">
      <c r="A20" s="148" t="s">
        <v>238</v>
      </c>
      <c r="B20" s="145" t="s">
        <v>180</v>
      </c>
      <c r="C20" s="143" t="s">
        <v>230</v>
      </c>
      <c r="D20" s="145"/>
      <c r="E20" s="145"/>
    </row>
    <row r="21" spans="1:6" ht="22.15" customHeight="1" x14ac:dyDescent="0.25">
      <c r="A21" s="148" t="s">
        <v>237</v>
      </c>
      <c r="B21" s="145" t="s">
        <v>136</v>
      </c>
      <c r="C21" s="143" t="s">
        <v>229</v>
      </c>
      <c r="D21" s="145"/>
      <c r="E21" s="145"/>
    </row>
    <row r="22" spans="1:6" ht="22.15" customHeight="1" x14ac:dyDescent="0.25">
      <c r="A22" s="148" t="s">
        <v>236</v>
      </c>
      <c r="B22" s="145" t="s">
        <v>133</v>
      </c>
      <c r="C22" s="143" t="s">
        <v>228</v>
      </c>
      <c r="D22" s="143"/>
      <c r="E22" s="143"/>
      <c r="F22" s="138"/>
    </row>
    <row r="23" spans="1:6" ht="22.15" customHeight="1" x14ac:dyDescent="0.25">
      <c r="A23" s="147" t="s">
        <v>235</v>
      </c>
      <c r="B23" s="143" t="s">
        <v>132</v>
      </c>
      <c r="C23" s="143" t="s">
        <v>227</v>
      </c>
      <c r="D23" s="143"/>
      <c r="E23" s="143"/>
      <c r="F23" s="138"/>
    </row>
    <row r="24" spans="1:6" ht="22.15" customHeight="1" x14ac:dyDescent="0.25">
      <c r="A24" s="147" t="s">
        <v>119</v>
      </c>
      <c r="B24" s="143" t="s">
        <v>120</v>
      </c>
      <c r="C24" s="144" t="s">
        <v>226</v>
      </c>
      <c r="D24" s="143"/>
      <c r="E24" s="143"/>
      <c r="F24" s="138"/>
    </row>
  </sheetData>
  <mergeCells count="9">
    <mergeCell ref="A6:E6"/>
    <mergeCell ref="A7:E7"/>
    <mergeCell ref="A8:E8"/>
    <mergeCell ref="A1:A5"/>
    <mergeCell ref="B1:D1"/>
    <mergeCell ref="B2:D2"/>
    <mergeCell ref="B3:D4"/>
    <mergeCell ref="E3:E4"/>
    <mergeCell ref="B5:D5"/>
  </mergeCells>
  <pageMargins left="0.43307086614173229" right="0.43307086614173229" top="0.62992125984251968" bottom="0.59055118110236227" header="0.31496062992125984" footer="0.31496062992125984"/>
  <pageSetup paperSize="9" orientation="landscape" r:id="rId1"/>
  <headerFooter>
    <oddHeader>&amp;C&amp;"BMW Group Condensed,Fett"&amp;12Lenkungsinformationen</oddHeader>
    <oddFooter>&amp;C&amp;"BMW Group Condensed,Fett"&amp;10Ausdruck nur zur Information&amp;R&amp;"BMW Group Condensed,Fett"&amp;10S. 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6</vt:i4>
      </vt:variant>
    </vt:vector>
  </HeadingPairs>
  <TitlesOfParts>
    <vt:vector size="18" baseType="lpstr">
      <vt:lpstr>Filled_by_requestor</vt:lpstr>
      <vt:lpstr>ID_PUSH1</vt:lpstr>
      <vt:lpstr>SPSDELET</vt:lpstr>
      <vt:lpstr>ID_EXIT1</vt:lpstr>
      <vt:lpstr>ID_REQU2</vt:lpstr>
      <vt:lpstr>WASIDENT</vt:lpstr>
      <vt:lpstr>SPS_PING</vt:lpstr>
      <vt:lpstr>WAS_MOVE</vt:lpstr>
      <vt:lpstr>PING_PLC</vt:lpstr>
      <vt:lpstr>PING_WAS</vt:lpstr>
      <vt:lpstr>Layout</vt:lpstr>
      <vt:lpstr>Changes</vt:lpstr>
      <vt:lpstr>Changes!Druckbereich</vt:lpstr>
      <vt:lpstr>Filled_by_requestor!Druckbereich</vt:lpstr>
      <vt:lpstr>ID_EXIT1!Druckbereich</vt:lpstr>
      <vt:lpstr>ID_PUSH1!Druckbereich</vt:lpstr>
      <vt:lpstr>SPS_PING!Druckbereich</vt:lpstr>
      <vt:lpstr>SPSDELET!Druckbereich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Mindermann;TM-425</dc:creator>
  <cp:lastModifiedBy>Berger Tilo</cp:lastModifiedBy>
  <cp:lastPrinted>2014-04-08T12:42:17Z</cp:lastPrinted>
  <dcterms:created xsi:type="dcterms:W3CDTF">2007-04-13T13:29:50Z</dcterms:created>
  <dcterms:modified xsi:type="dcterms:W3CDTF">2018-10-04T13:14:14Z</dcterms:modified>
</cp:coreProperties>
</file>