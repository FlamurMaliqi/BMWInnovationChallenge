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europe.bmw.corp\WINFS\TP-proj\Tx-4-TMO\10_CoC\04_CoC_ETST\21_ST\28_V3\Interna\ITFreezed\IPSL\"/>
    </mc:Choice>
  </mc:AlternateContent>
  <bookViews>
    <workbookView xWindow="17616" yWindow="-180" windowWidth="14088" windowHeight="11832" tabRatio="936" firstSheet="2" activeTab="13"/>
  </bookViews>
  <sheets>
    <sheet name="Filled_by_requestor" sheetId="22" r:id="rId1"/>
    <sheet name="checklist_ requestor" sheetId="29" r:id="rId2"/>
    <sheet name="Filled_by_IT" sheetId="23" r:id="rId3"/>
    <sheet name="TEL_REQU" sheetId="2" r:id="rId4"/>
    <sheet name="SEQ_REQU" sheetId="3" r:id="rId5"/>
    <sheet name="IPSRDATA" sheetId="19" r:id="rId6"/>
    <sheet name="IPS_DATA" sheetId="11" r:id="rId7"/>
    <sheet name="TRIG_PNT" sheetId="1" r:id="rId8"/>
    <sheet name="TRIG_PNT_empty" sheetId="26" r:id="rId9"/>
    <sheet name="IPS_MOVE" sheetId="27" r:id="rId10"/>
    <sheet name="PING_IPS" sheetId="7" r:id="rId11"/>
    <sheet name="PING_PLC" sheetId="9" r:id="rId12"/>
    <sheet name="SPS_DATA_VINRSULT" sheetId="24" r:id="rId13"/>
    <sheet name="SPS_DATA_ZUORMOGE" sheetId="18" r:id="rId14"/>
    <sheet name="SPS_DATA_RAXLEDIF" sheetId="32" r:id="rId15"/>
    <sheet name="Errorcodes" sheetId="28" r:id="rId16"/>
    <sheet name="Changes" sheetId="31" r:id="rId17"/>
  </sheets>
  <externalReferences>
    <externalReference r:id="rId18"/>
    <externalReference r:id="rId19"/>
  </externalReferences>
  <definedNames>
    <definedName name="Ablage" localSheetId="16">#REF!</definedName>
    <definedName name="Ablage">#REF!</definedName>
    <definedName name="Aktoren_Sensoren" localSheetId="14">#REF!</definedName>
    <definedName name="Aktoren_Sensoren">#REF!</definedName>
    <definedName name="Control" localSheetId="9">#REF!</definedName>
    <definedName name="Control" localSheetId="14">#REF!</definedName>
    <definedName name="Control">#REF!</definedName>
    <definedName name="Dokumentart" localSheetId="16">#REF!</definedName>
    <definedName name="Dokumentart">#REF!</definedName>
    <definedName name="Dokumentkategorie" localSheetId="16">#REF!</definedName>
    <definedName name="Dokumentkategorie">#REF!</definedName>
    <definedName name="_xlnm.Print_Area" localSheetId="16">Changes!$A$1:$E$19</definedName>
    <definedName name="_xlnm.Print_Area" localSheetId="2">Filled_by_IT!$A$4:$K$56</definedName>
    <definedName name="_xlnm.Print_Area" localSheetId="0">Filled_by_requestor!$A$1:$P$78</definedName>
    <definedName name="_xlnm.Print_Area" localSheetId="6">IPS_DATA!$A$1:$I$54</definedName>
    <definedName name="_xlnm.Print_Area" localSheetId="9">IPS_MOVE!$B$1:$H$37</definedName>
    <definedName name="_xlnm.Print_Area" localSheetId="5">IPSRDATA!$A$1:$H$39</definedName>
    <definedName name="_xlnm.Print_Area" localSheetId="10">PING_IPS!$B$1:$H$30</definedName>
    <definedName name="_xlnm.Print_Area" localSheetId="11">PING_PLC!$B$1:$H$29</definedName>
    <definedName name="_xlnm.Print_Area" localSheetId="4">SEQ_REQU!$A$1:$I$39</definedName>
    <definedName name="_xlnm.Print_Area" localSheetId="14">SPS_DATA_RAXLEDIF!$A$1:$H$37</definedName>
    <definedName name="_xlnm.Print_Area" localSheetId="12">SPS_DATA_VINRSULT!$A$1:$H$26</definedName>
    <definedName name="_xlnm.Print_Area" localSheetId="13">SPS_DATA_ZUORMOGE!$A$1:$H$39</definedName>
    <definedName name="_xlnm.Print_Area" localSheetId="3">TEL_REQU!$B$1:$H$31</definedName>
    <definedName name="_xlnm.Print_Area" localSheetId="7">TRIG_PNT!$B$1:$H$37</definedName>
    <definedName name="_xlnm.Print_Area" localSheetId="8">TRIG_PNT_empty!$A$1:$H$34</definedName>
    <definedName name="Komponenten">[1]Daten!$A$2:$A$500</definedName>
    <definedName name="Ordner_Archive" localSheetId="14">#REF!</definedName>
    <definedName name="Ordner_Archive">#REF!</definedName>
    <definedName name="Prozessnummer" localSheetId="16">#REF!</definedName>
    <definedName name="Prozessnummer">#REF!</definedName>
    <definedName name="RAXLEDIF123">#REF!</definedName>
    <definedName name="SIMATC_TIA_Profinet_Gerätenamen" localSheetId="14">#REF!</definedName>
    <definedName name="SIMATC_TIA_Profinet_Gerätenamen">#REF!</definedName>
    <definedName name="Simatic" localSheetId="14">#REF!</definedName>
    <definedName name="Simatic">#REF!</definedName>
    <definedName name="Simatic_TIA_Adressvergaben" localSheetId="14">#REF!</definedName>
    <definedName name="Simatic_TIA_Adressvergaben">#REF!</definedName>
    <definedName name="TCPIP_Namen" localSheetId="14">#REF!</definedName>
    <definedName name="TCPIP_Namen">#REF!</definedName>
    <definedName name="TEL_REQU" localSheetId="3">TEL_REQU!$B$4:$H$18</definedName>
    <definedName name="Test" localSheetId="14">#REF!</definedName>
    <definedName name="Test">#REF!</definedName>
    <definedName name="Z_2E70E708_B73C_4323_9253_4875EF82DB2B_.wvu.Rows" localSheetId="0" hidden="1">Filled_by_requestor!$37:$48,Filled_by_requestor!$51:$77</definedName>
    <definedName name="Zugriffsbeschränkung" localSheetId="16">#REF!</definedName>
    <definedName name="Zugriffsbeschränkung">#REF!</definedName>
  </definedNames>
  <calcPr calcId="152511"/>
  <customWorkbookViews>
    <customWorkbookView name="PLC specific information" guid="{2E70E708-B73C-4323-9253-4875EF82DB2B}" includePrintSettings="0" maximized="1" xWindow="1" yWindow="1" windowWidth="1362" windowHeight="548" tabRatio="897" activeSheetId="22"/>
  </customWorkbookViews>
</workbook>
</file>

<file path=xl/calcChain.xml><?xml version="1.0" encoding="utf-8"?>
<calcChain xmlns="http://schemas.openxmlformats.org/spreadsheetml/2006/main">
  <c r="F16" i="26" l="1"/>
  <c r="F18" i="32"/>
  <c r="F11" i="32"/>
  <c r="F33" i="32" s="1"/>
  <c r="F6" i="32"/>
  <c r="F27" i="32" s="1"/>
  <c r="F5" i="32"/>
  <c r="F12" i="32" s="1"/>
  <c r="F28" i="32" l="1"/>
  <c r="F34" i="32" s="1"/>
  <c r="G29" i="22" l="1"/>
  <c r="F16" i="1" l="1"/>
  <c r="F16" i="11"/>
  <c r="F16" i="19"/>
  <c r="F6" i="27"/>
  <c r="F5" i="27"/>
  <c r="F18" i="24" l="1"/>
  <c r="F11" i="24"/>
  <c r="F6" i="24"/>
  <c r="F5" i="24"/>
  <c r="F12" i="24" s="1"/>
  <c r="F33" i="27"/>
  <c r="F18" i="27"/>
  <c r="F11" i="27"/>
  <c r="F30" i="27" s="1"/>
  <c r="F24" i="27"/>
  <c r="F25" i="27"/>
  <c r="F31" i="27" s="1"/>
  <c r="F12" i="27" l="1"/>
  <c r="F16" i="3"/>
  <c r="F16" i="2"/>
  <c r="F11" i="26"/>
  <c r="F30" i="26" s="1"/>
  <c r="F6" i="26"/>
  <c r="F24" i="26" s="1"/>
  <c r="F5" i="26"/>
  <c r="F12" i="26" s="1"/>
  <c r="F36" i="1"/>
  <c r="F19" i="3"/>
  <c r="C4" i="22"/>
  <c r="F18" i="18"/>
  <c r="F11" i="18"/>
  <c r="F35" i="18" s="1"/>
  <c r="F6" i="18"/>
  <c r="F29" i="18" s="1"/>
  <c r="F5" i="18"/>
  <c r="F12" i="18" s="1"/>
  <c r="F11" i="9"/>
  <c r="F25" i="9" s="1"/>
  <c r="F6" i="9"/>
  <c r="F19" i="9" s="1"/>
  <c r="F5" i="9"/>
  <c r="F20" i="9" s="1"/>
  <c r="F26" i="9" s="1"/>
  <c r="F12" i="7"/>
  <c r="F11" i="7"/>
  <c r="F26" i="7" s="1"/>
  <c r="F6" i="7"/>
  <c r="F20" i="7" s="1"/>
  <c r="F5" i="7"/>
  <c r="F21" i="7" s="1"/>
  <c r="F27" i="7" s="1"/>
  <c r="F18" i="1"/>
  <c r="F11" i="1"/>
  <c r="F30" i="1" s="1"/>
  <c r="F6" i="1"/>
  <c r="F24" i="1" s="1"/>
  <c r="F5" i="1"/>
  <c r="F25" i="1" s="1"/>
  <c r="F31" i="1" s="1"/>
  <c r="F11" i="19"/>
  <c r="F6" i="19"/>
  <c r="F12" i="19" s="1"/>
  <c r="F5" i="19"/>
  <c r="F11" i="11"/>
  <c r="F50" i="11" s="1"/>
  <c r="F6" i="11"/>
  <c r="F44" i="11" s="1"/>
  <c r="F51" i="11" s="1"/>
  <c r="F5" i="11"/>
  <c r="F45" i="11" s="1"/>
  <c r="F18" i="3"/>
  <c r="F11" i="3"/>
  <c r="F6" i="3"/>
  <c r="F5" i="3"/>
  <c r="F12" i="3" s="1"/>
  <c r="F11" i="2"/>
  <c r="F18" i="2"/>
  <c r="F6" i="2"/>
  <c r="F5" i="2"/>
  <c r="F12" i="2" s="1"/>
  <c r="F12" i="9" l="1"/>
  <c r="F12" i="1"/>
  <c r="F25" i="26"/>
  <c r="F31" i="26" s="1"/>
  <c r="F12" i="11"/>
  <c r="F30" i="18"/>
  <c r="F36" i="18" s="1"/>
</calcChain>
</file>

<file path=xl/comments1.xml><?xml version="1.0" encoding="utf-8"?>
<comments xmlns="http://schemas.openxmlformats.org/spreadsheetml/2006/main">
  <authors>
    <author>w6montage</author>
  </authors>
  <commentList>
    <comment ref="I11" authorId="0" shapeId="0">
      <text>
        <r>
          <rPr>
            <b/>
            <sz val="8"/>
            <color indexed="81"/>
            <rFont val="Tahoma"/>
            <family val="2"/>
          </rPr>
          <t>Die Felder PLANT, PRIMARY SOURCE und  TELNAME stellen den eindeutigen Namen einer Transaktion dar.</t>
        </r>
        <r>
          <rPr>
            <sz val="8"/>
            <color indexed="81"/>
            <rFont val="Tahoma"/>
            <family val="2"/>
          </rPr>
          <t xml:space="preserve">
PLANT, PRIMARY SOURCE, TELNAME display the unique Name of the transaction</t>
        </r>
      </text>
    </comment>
  </commentList>
</comments>
</file>

<file path=xl/comments2.xml><?xml version="1.0" encoding="utf-8"?>
<comments xmlns="http://schemas.openxmlformats.org/spreadsheetml/2006/main">
  <authors>
    <author>w6montage</author>
  </authors>
  <commentList>
    <comment ref="I11" authorId="0" shapeId="0">
      <text>
        <r>
          <rPr>
            <b/>
            <sz val="8"/>
            <color indexed="81"/>
            <rFont val="Tahoma"/>
            <family val="2"/>
          </rPr>
          <t>Die Felder PLANT, PRIMARY SOURCE und  TELNAME stellen den eindeutigen Namen einer Transaktion dar.</t>
        </r>
        <r>
          <rPr>
            <sz val="8"/>
            <color indexed="81"/>
            <rFont val="Tahoma"/>
            <family val="2"/>
          </rPr>
          <t xml:space="preserve">
PLANT, PRIMARY SOURCE, TELNAME display the unique Name of the transaction</t>
        </r>
      </text>
    </comment>
  </commentList>
</comments>
</file>

<file path=xl/comments3.xml><?xml version="1.0" encoding="utf-8"?>
<comments xmlns="http://schemas.openxmlformats.org/spreadsheetml/2006/main">
  <authors>
    <author>w6montage</author>
  </authors>
  <commentList>
    <comment ref="I11" authorId="0" shapeId="0">
      <text>
        <r>
          <rPr>
            <b/>
            <sz val="8"/>
            <color indexed="81"/>
            <rFont val="Tahoma"/>
            <family val="2"/>
          </rPr>
          <t>Die Felder PLANT, PRIMARY SOURCE und  TELNAME stellen den eindeutigen Namen einer Transaktion dar.</t>
        </r>
        <r>
          <rPr>
            <sz val="8"/>
            <color indexed="81"/>
            <rFont val="Tahoma"/>
            <family val="2"/>
          </rPr>
          <t xml:space="preserve">
PLANT, PRIMARY SOURCE, TELNAME display the unique Name of the transaction</t>
        </r>
      </text>
    </comment>
  </commentList>
</comments>
</file>

<file path=xl/comments4.xml><?xml version="1.0" encoding="utf-8"?>
<comments xmlns="http://schemas.openxmlformats.org/spreadsheetml/2006/main">
  <authors>
    <author>w6montage</author>
  </authors>
  <commentList>
    <comment ref="I11" authorId="0" shapeId="0">
      <text>
        <r>
          <rPr>
            <b/>
            <sz val="8"/>
            <color indexed="81"/>
            <rFont val="Tahoma"/>
            <family val="2"/>
          </rPr>
          <t>Die Felder PLANT, PRIMARY SOURCE und  TELNAME stellen den eindeutigen Namen einer Transaktion dar.</t>
        </r>
        <r>
          <rPr>
            <sz val="8"/>
            <color indexed="81"/>
            <rFont val="Tahoma"/>
            <family val="2"/>
          </rPr>
          <t xml:space="preserve">
PLANT, PRIMARY SOURCE, TELNAME display the unique Name of the transaction</t>
        </r>
      </text>
    </comment>
  </commentList>
</comments>
</file>

<file path=xl/comments5.xml><?xml version="1.0" encoding="utf-8"?>
<comments xmlns="http://schemas.openxmlformats.org/spreadsheetml/2006/main">
  <authors>
    <author>w6montage</author>
  </authors>
  <commentList>
    <comment ref="I11" authorId="0" shapeId="0">
      <text>
        <r>
          <rPr>
            <b/>
            <sz val="8"/>
            <color indexed="81"/>
            <rFont val="Tahoma"/>
            <family val="2"/>
          </rPr>
          <t>Die Felder PLANT, PRIMARY SOURCE und  TELNAME stellen den eindeutigen Namen einer Transaktion dar.</t>
        </r>
        <r>
          <rPr>
            <sz val="8"/>
            <color indexed="81"/>
            <rFont val="Tahoma"/>
            <family val="2"/>
          </rPr>
          <t xml:space="preserve">
PLANT, PRIMARY SOURCE, TELNAME display the unique Name of the transaction</t>
        </r>
      </text>
    </comment>
  </commentList>
</comments>
</file>

<file path=xl/sharedStrings.xml><?xml version="1.0" encoding="utf-8"?>
<sst xmlns="http://schemas.openxmlformats.org/spreadsheetml/2006/main" count="1864" uniqueCount="530">
  <si>
    <t>TEL_REQU</t>
  </si>
  <si>
    <t xml:space="preserve"> </t>
  </si>
  <si>
    <t>1 - 8</t>
  </si>
  <si>
    <t>9 - 16</t>
  </si>
  <si>
    <t>17 - 24</t>
  </si>
  <si>
    <t>25 - 28</t>
  </si>
  <si>
    <t>29 - 32</t>
  </si>
  <si>
    <t>0001</t>
  </si>
  <si>
    <t>TRIG_PNT</t>
  </si>
  <si>
    <t>SEQ_REQU</t>
  </si>
  <si>
    <t>TELNAME</t>
  </si>
  <si>
    <t>TIMESTAMP</t>
  </si>
  <si>
    <t>KEY</t>
  </si>
  <si>
    <t>KEY-TYPE</t>
  </si>
  <si>
    <t>IPS - Format</t>
  </si>
  <si>
    <t>alpha-
numerisch</t>
  </si>
  <si>
    <t>ACKNO</t>
  </si>
  <si>
    <t>VERSION</t>
  </si>
  <si>
    <t>LAST VALID KEY</t>
  </si>
  <si>
    <t>NUMBER RECORDS</t>
  </si>
  <si>
    <t>PING_IPS</t>
  </si>
  <si>
    <t>PING_PLC</t>
  </si>
  <si>
    <t>33 - 46</t>
  </si>
  <si>
    <t>20050131120000</t>
  </si>
  <si>
    <t>57 - 64</t>
  </si>
  <si>
    <t>PING_I_R</t>
  </si>
  <si>
    <t>PING_P_R</t>
  </si>
  <si>
    <t>TRAN</t>
  </si>
  <si>
    <t>PLANT</t>
  </si>
  <si>
    <t>PRIMARY SOURCE</t>
  </si>
  <si>
    <t>AKZ</t>
  </si>
  <si>
    <t xml:space="preserve"> TELNAME</t>
  </si>
  <si>
    <t>TRANSACTION-ID</t>
  </si>
  <si>
    <t>STATUS-ID</t>
  </si>
  <si>
    <t xml:space="preserve">OKAY </t>
  </si>
  <si>
    <t>47 - 48</t>
  </si>
  <si>
    <t>49 - 56</t>
  </si>
  <si>
    <t>0000</t>
  </si>
  <si>
    <t xml:space="preserve">0000 </t>
  </si>
  <si>
    <t>OKAY</t>
  </si>
  <si>
    <t>OKAY; ERRORCODE</t>
  </si>
  <si>
    <t>20050131120135</t>
  </si>
  <si>
    <t>20050131120140</t>
  </si>
  <si>
    <t>TRIG_P_R</t>
  </si>
  <si>
    <t>65 - 82</t>
  </si>
  <si>
    <t>83 - 86</t>
  </si>
  <si>
    <t>FZSNR</t>
  </si>
  <si>
    <t>ORDNR</t>
  </si>
  <si>
    <t>FGNR</t>
  </si>
  <si>
    <t>023456</t>
  </si>
  <si>
    <t>SERIES</t>
  </si>
  <si>
    <t>BODY TYPE</t>
  </si>
  <si>
    <t>LI</t>
  </si>
  <si>
    <t>"CP"=Coupe; "CA"=Cabrio; "LI"=Limousine; "TO"=Touring</t>
  </si>
  <si>
    <t>DRIVE</t>
  </si>
  <si>
    <t>HR</t>
  </si>
  <si>
    <t>ENGINE</t>
  </si>
  <si>
    <t>GEAR TYPE</t>
  </si>
  <si>
    <t>LL_RL</t>
  </si>
  <si>
    <t>LL</t>
  </si>
  <si>
    <t>AU</t>
  </si>
  <si>
    <t>O_</t>
  </si>
  <si>
    <t>Standard Header
46 Byte</t>
  </si>
  <si>
    <t xml:space="preserve">20050131120000____  </t>
  </si>
  <si>
    <t>-400</t>
  </si>
  <si>
    <t>0000'</t>
  </si>
  <si>
    <t>KRS</t>
  </si>
  <si>
    <t>D_</t>
  </si>
  <si>
    <t>123456</t>
  </si>
  <si>
    <t>OR / FZ / FG / ID</t>
  </si>
  <si>
    <t>EVENT</t>
  </si>
  <si>
    <t>LFDNR</t>
  </si>
  <si>
    <t>000004373898</t>
  </si>
  <si>
    <t>IPS_DA_R</t>
  </si>
  <si>
    <t>000001234567</t>
  </si>
  <si>
    <t>Source</t>
  </si>
  <si>
    <t>Destination</t>
  </si>
  <si>
    <t>NONE</t>
  </si>
  <si>
    <t>SO_KZ</t>
  </si>
  <si>
    <t>P_</t>
  </si>
  <si>
    <t>KRS_Fach</t>
  </si>
  <si>
    <t>IPSRDATA</t>
  </si>
  <si>
    <t>1234567</t>
  </si>
  <si>
    <t>Character</t>
  </si>
  <si>
    <t>Number</t>
  </si>
  <si>
    <t>Field Name</t>
  </si>
  <si>
    <t>Example</t>
  </si>
  <si>
    <t>Description</t>
  </si>
  <si>
    <t>Plant ID</t>
  </si>
  <si>
    <t>The transaction ID is made up of EVENT and KEY</t>
  </si>
  <si>
    <t>Z=L-counting point; M=MOFI; T=cycle</t>
  </si>
  <si>
    <t>Type of acknowledgement after use of 'NONE' or 'TRAN'.
Preferably 'NONE' for request.</t>
  </si>
  <si>
    <t>Version of the telegram</t>
  </si>
  <si>
    <t>Format:  YYYYMMDDhhmmss</t>
  </si>
  <si>
    <t>Telegram name</t>
  </si>
  <si>
    <t>Destination is the AKZ of the communication partner. AKZ is a subset of the DNS name and must be setup according to the standardisation. Source and Destination are reserved from the originatl telegram.</t>
  </si>
  <si>
    <t>alpha-
numeric</t>
  </si>
  <si>
    <t>numeric</t>
  </si>
  <si>
    <t>alpha-nummeric</t>
  </si>
  <si>
    <t>Original sender of the message. AKZ is a subset of the DNS name and must be setup according to the standardisation.</t>
  </si>
  <si>
    <t>Final destination of the message: Identifies IPS-L as communication partner. Location idendifier: two digits for the location, two digits for the premises &lt;SS&gt;&lt;LL&gt; (example W6.1 = 0610, W2.4=0240)</t>
  </si>
  <si>
    <t>Source IPSL: Identifies IPS-L as communication partner. Location idendifier: two digits for the location, two digits for the premises &lt;SS&gt;&lt;LL&gt; (example W6.1 = 0610, W2.4=0240)</t>
  </si>
  <si>
    <t>Key of the dataset (vin number,…)</t>
  </si>
  <si>
    <t>alpha-numeric</t>
  </si>
  <si>
    <t>Acknowledgement telegram</t>
  </si>
  <si>
    <t>Original sender of the message.
Source IPSL: Identifies IPS-L as communication partner 
with location ID: &lt;SS&gt;&lt;LL&gt;</t>
  </si>
  <si>
    <t>Final destination of the message.
Destination is the AKZ of the communication partner. AKZ is a subset of the DNS name and must be setup according to the standardisation</t>
  </si>
  <si>
    <t xml:space="preserve">Telegram name </t>
  </si>
  <si>
    <t>7 digit with leading zero</t>
  </si>
  <si>
    <t>7 digit with 5 leading zeros (position 108-114)</t>
  </si>
  <si>
    <t>W 01: 000001 - 000999 up to the day (Reserve + LFDNR) W 10: 000001 - 099999 up to the year</t>
  </si>
  <si>
    <t>Drive variation: “HR"= rear-wheel drive; “AR”= all wheel drive</t>
  </si>
  <si>
    <t xml:space="preserve">Transmission variation: "AU "= Automatic, "SC "= manual transmission </t>
  </si>
  <si>
    <t>Steering variation: "LL"= left hand drive ; "RL" = right hand drive</t>
  </si>
  <si>
    <t>Special identifiers for order 
“P”=press, “T”=pre-production series, “V”=previous design, “S”=individual</t>
  </si>
  <si>
    <t xml:space="preserve">KRS identifier 
D_=Direct / A_=Store / H_=Retrieve </t>
  </si>
  <si>
    <t xml:space="preserve">KRS compartment number to be stored / retrieved </t>
  </si>
  <si>
    <t>alpha-numeric*</t>
  </si>
  <si>
    <t>By convention telegram names have "R" as an appendiy in order to recognise the type by the name</t>
  </si>
  <si>
    <t>Transaction Header
40 Byte</t>
  </si>
  <si>
    <t>TIMESTAMP (ms) or functionally unique key term for delimitation from transactions. Must be left-aligned. Transaction ID will be mirrored</t>
  </si>
  <si>
    <t xml:space="preserve">KRS
kumulierter
Rückstand/ COS cumulated out of seqence part </t>
  </si>
  <si>
    <t>Facility-specific telegram part</t>
  </si>
  <si>
    <t>Sequential, running number of the last order</t>
  </si>
  <si>
    <t>IPS Connection Monitoring</t>
  </si>
  <si>
    <t>The transaction ID is mirrored completely</t>
  </si>
  <si>
    <t>Acknowledgement telegram IPS-L- PLC</t>
  </si>
  <si>
    <t>The telegram will be send to a communication partner and the acknowledgement is comulsary.</t>
  </si>
  <si>
    <t>as TRANSACTION-ID the TIMESTAMP will be used (left-aligned)</t>
  </si>
  <si>
    <t>IPS-L Source</t>
  </si>
  <si>
    <t xml:space="preserve"> Function will be used for maintenance issues on the weekend.</t>
  </si>
  <si>
    <t xml:space="preserve">Manual trigger of telegram by IPS-L possible. No automatical sending, as this would require an additioanl program on IPS side. </t>
  </si>
  <si>
    <t xml:space="preserve">Mask function for pinging the choosen PLC needed. </t>
  </si>
  <si>
    <t>PLC Connection Monitoring</t>
  </si>
  <si>
    <t>Standard functional data part
74 Byte</t>
  </si>
  <si>
    <t>SPS_DATA</t>
  </si>
  <si>
    <t>numerisch</t>
  </si>
  <si>
    <t>Transaktions Header
40 Byte</t>
  </si>
  <si>
    <t>alpha-nummerisch</t>
  </si>
  <si>
    <t>ZUORMOGE</t>
  </si>
  <si>
    <t xml:space="preserve">Engine_serial_no </t>
  </si>
  <si>
    <t>74048376</t>
  </si>
  <si>
    <t xml:space="preserve">Engine_part_no </t>
  </si>
  <si>
    <t>008953</t>
  </si>
  <si>
    <t>Gearbox_serial_no</t>
  </si>
  <si>
    <t>Gearbox_part_no</t>
  </si>
  <si>
    <t>00J1GL</t>
  </si>
  <si>
    <t>SPS_DA_R</t>
  </si>
  <si>
    <t>Type of acknowledgment based on the situation 'NONE' or 'TRAN'
Preferred 'TRAN' for important telegrams /data transfer</t>
  </si>
  <si>
    <r>
      <t>Transaction name</t>
    </r>
    <r>
      <rPr>
        <sz val="8"/>
        <rFont val="Arial"/>
        <family val="2"/>
      </rPr>
      <t xml:space="preserve">
</t>
    </r>
  </si>
  <si>
    <t>Transaction Identification</t>
  </si>
  <si>
    <t>There can only be one open transaction with this combination for each point of time.</t>
  </si>
  <si>
    <t>extended transaction header</t>
  </si>
  <si>
    <t>Key of the dataset (vin number,…) with leading zeros</t>
  </si>
  <si>
    <t>last valid ident in the system with leading zeros</t>
  </si>
  <si>
    <t>Facility-specific telegram part
max. 78Byte</t>
  </si>
  <si>
    <t>Standard functional data part
22 Byte</t>
  </si>
  <si>
    <t>Transactions Header
40 Byte</t>
  </si>
  <si>
    <t>Key of the dataset (order number,…) with leading zeros</t>
  </si>
  <si>
    <t>Destination is the AKZ of the communication partner. AKZ is a subset of the DNS name and must be setup according to the standardisation. Source and Destination are reserved from the original telegram.</t>
  </si>
  <si>
    <t>8 digits are used for the event</t>
  </si>
  <si>
    <t>Type of acknowledgement after use of 'NONE' or 'TRAN'. Acknowledgment based on the importance of the trigger point. Preferably 'NONE' for request.</t>
  </si>
  <si>
    <t>Type of acknowledgment will be copied by IPS-L 'TRAN' or 'None'</t>
  </si>
  <si>
    <t>Version of telegrams</t>
  </si>
  <si>
    <t xml:space="preserve">Type of acknowledgement after use of 'NONE' or 'TRAN'.
</t>
  </si>
  <si>
    <t>IPS_DATA</t>
  </si>
  <si>
    <t>x</t>
  </si>
  <si>
    <t>OSM</t>
  </si>
  <si>
    <t>Department code</t>
  </si>
  <si>
    <t>Tel. No</t>
  </si>
  <si>
    <t>Date</t>
  </si>
  <si>
    <t>Hardware</t>
  </si>
  <si>
    <t>type</t>
  </si>
  <si>
    <t>Connection</t>
  </si>
  <si>
    <t>System</t>
  </si>
  <si>
    <t>PLC</t>
  </si>
  <si>
    <t>Port (102 default for PLC)</t>
  </si>
  <si>
    <t>IP Name/ IP Address</t>
  </si>
  <si>
    <t>Telegram spool</t>
  </si>
  <si>
    <t>Port No. (e.g. 102)</t>
  </si>
  <si>
    <t>KM config node (e.g. 161)</t>
  </si>
  <si>
    <t>vt_send (e.g. vtservsnd162)</t>
  </si>
  <si>
    <t>KM_copy</t>
  </si>
  <si>
    <t>Data telegram</t>
  </si>
  <si>
    <t>Trigger point/Event</t>
  </si>
  <si>
    <t>Spool/Teleg (e.g. TELE099)</t>
  </si>
  <si>
    <t>Manual events</t>
  </si>
  <si>
    <t xml:space="preserve">Tel No. </t>
  </si>
  <si>
    <t>IPS-L specific Information (filled by IT planer)</t>
  </si>
  <si>
    <t>Single data request</t>
  </si>
  <si>
    <t>Block data request</t>
  </si>
  <si>
    <t>IPS-L Destination</t>
  </si>
  <si>
    <t>Plant Code</t>
  </si>
  <si>
    <t>Version</t>
  </si>
  <si>
    <t>Author</t>
  </si>
  <si>
    <t>87 - 94</t>
  </si>
  <si>
    <t>95 - 106</t>
  </si>
  <si>
    <t>107 - 108</t>
  </si>
  <si>
    <t>109 - 112</t>
  </si>
  <si>
    <t>113 - 118</t>
  </si>
  <si>
    <t>95 - 102</t>
  </si>
  <si>
    <t>103 - 114</t>
  </si>
  <si>
    <t>115 - 122</t>
  </si>
  <si>
    <t>123 - 128</t>
  </si>
  <si>
    <t>129 - 132</t>
  </si>
  <si>
    <t>133 - 134</t>
  </si>
  <si>
    <t>135 - 136</t>
  </si>
  <si>
    <t>137 - 138</t>
  </si>
  <si>
    <t>139 - 140</t>
  </si>
  <si>
    <t>141 - 142</t>
  </si>
  <si>
    <t>143 - 144</t>
  </si>
  <si>
    <t>145 - 146</t>
  </si>
  <si>
    <t>147 - 150</t>
  </si>
  <si>
    <t>151 - 160</t>
  </si>
  <si>
    <t>Data telegram (pull)</t>
  </si>
  <si>
    <t>87 - 91</t>
  </si>
  <si>
    <t>92 - 98</t>
  </si>
  <si>
    <t>109 - 116</t>
  </si>
  <si>
    <t>117 - 122</t>
  </si>
  <si>
    <t>Agreement and further information</t>
  </si>
  <si>
    <t xml:space="preserve">Telegram name
For PLC single and block request(SEQ_REQU/TEL_REQU), the datatelegram (IPSRDATA) need to come along with ACKNO=NONE, because the IPSRDATA telegram is already the acknowledgment for the single and block request. </t>
  </si>
  <si>
    <t>Telegram name
IPS_DATA has always come along with ACKNO="TRAN" as a reaction of counting point triggered data transfer (triggered by event)</t>
  </si>
  <si>
    <t>NONE' will be used for TEL_REQU, because the received data telegram IPSRDATA will already be the acknowledgment.</t>
  </si>
  <si>
    <t>NONE' will be used for SEQ_REQU, because the received data telegram IPSRDATA will already be the acknowledgment.</t>
  </si>
  <si>
    <t>KM-Partner (km-spool)</t>
  </si>
  <si>
    <t>Acknowledge spool</t>
  </si>
  <si>
    <t>IPS- Paramterization</t>
  </si>
  <si>
    <t>History/ Status</t>
  </si>
  <si>
    <t>Additional information/ Hardcopy</t>
  </si>
  <si>
    <t>Data telegram (push)</t>
  </si>
  <si>
    <t>Standard functional data part</t>
  </si>
  <si>
    <t xml:space="preserve">Standard functional data part
</t>
  </si>
  <si>
    <t>only used in plant Tiexi plant (19.88) and will be cutt off by PLC</t>
  </si>
  <si>
    <t xml:space="preserve">Transaction Header
</t>
  </si>
  <si>
    <r>
      <t xml:space="preserve">
Engine- Series Number
</t>
    </r>
    <r>
      <rPr>
        <i/>
        <sz val="10"/>
        <color rgb="FF000000"/>
        <rFont val="Arial"/>
        <family val="2"/>
      </rPr>
      <t>Motor Seriennummer</t>
    </r>
  </si>
  <si>
    <r>
      <t xml:space="preserve">
Engine-code 4-digits with 2 leading zero
</t>
    </r>
    <r>
      <rPr>
        <i/>
        <sz val="10"/>
        <color rgb="FF000000"/>
        <rFont val="Arial"/>
        <family val="2"/>
      </rPr>
      <t>Motor-Code     4-stellig, 2 führende Nullen</t>
    </r>
  </si>
  <si>
    <r>
      <t xml:space="preserve">
Gearbox- series number</t>
    </r>
    <r>
      <rPr>
        <i/>
        <sz val="10"/>
        <color rgb="FF000000"/>
        <rFont val="Arial"/>
        <family val="2"/>
      </rPr>
      <t xml:space="preserve">
Getriebe-Seriennummer</t>
    </r>
  </si>
  <si>
    <r>
      <t xml:space="preserve">Gearbox-Code 4-digits with 2 leading zero
</t>
    </r>
    <r>
      <rPr>
        <i/>
        <sz val="10"/>
        <color rgb="FF000000"/>
        <rFont val="Arial"/>
        <family val="2"/>
      </rPr>
      <t>Getriebe-Code   4-stellig, 2 führende Nullen</t>
    </r>
  </si>
  <si>
    <t>TIMESTAMP (ms) or functionally unique key term for delimitation from transactions. Must be left-aligned filled with blanks</t>
  </si>
  <si>
    <t>TIMESTAMP (ms) or functionally unique key term for delimitation from transactions. Must be left-aligned filled with blanks
-&gt;Follow up requests are possible</t>
  </si>
  <si>
    <t>TIMESTAMP (ms) or functionally unique key term for delimitation from transactions. Must be left-aligned filled with blanks
-&gt;Follow up request are possible</t>
  </si>
  <si>
    <t>Data amount:</t>
  </si>
  <si>
    <t>(4-digits)</t>
  </si>
  <si>
    <t>Number of requestd data telegrams (max 9999) or all existing data in IPS-L.</t>
  </si>
  <si>
    <t>(e.g. Z3000)</t>
  </si>
  <si>
    <t>09081323</t>
  </si>
  <si>
    <t>0A080491</t>
  </si>
  <si>
    <t>“Z” &amp; 4-digit numeric is the convention for counting points; 8 digits are needed for action points filled with blanks</t>
  </si>
  <si>
    <t>Trigger Event</t>
  </si>
  <si>
    <t>(e.g. Z3060)</t>
  </si>
  <si>
    <t xml:space="preserve">F18 </t>
  </si>
  <si>
    <t>From F-Series on, the hyphen is deleted (F18, G12 but E-93 etc.)
Left aligned, filled with blank</t>
  </si>
  <si>
    <t>000000000000</t>
  </si>
  <si>
    <t>Key of the dataset (vin number,…)
For empty tact, only zeros</t>
  </si>
  <si>
    <t>What is the background of the process?/ Was ist der Hintergrund des Prozesses?</t>
  </si>
  <si>
    <t>Clarification of process flow/ Klärung des Prozessablaufs</t>
  </si>
  <si>
    <t>IPSL0240</t>
  </si>
  <si>
    <t>PC (ICOMM)</t>
  </si>
  <si>
    <t>RFC1006</t>
  </si>
  <si>
    <t>(iso on tcp)</t>
  </si>
  <si>
    <t>IPSL1910</t>
  </si>
  <si>
    <t>IPSL1911</t>
  </si>
  <si>
    <t>IPSL1988</t>
  </si>
  <si>
    <t>Plant Code (2-digits)</t>
  </si>
  <si>
    <t>Caption/ Legende</t>
  </si>
  <si>
    <t>92 /w9</t>
  </si>
  <si>
    <t>89/ 34</t>
  </si>
  <si>
    <t xml:space="preserve">Communication </t>
  </si>
  <si>
    <t xml:space="preserve">IPSL0920 </t>
  </si>
  <si>
    <t>IPSL0710</t>
  </si>
  <si>
    <t>IPSL0110</t>
  </si>
  <si>
    <t>11</t>
  </si>
  <si>
    <t>IPSL3400</t>
  </si>
  <si>
    <t>MONTIPSL</t>
  </si>
  <si>
    <t>General</t>
  </si>
  <si>
    <r>
      <rPr>
        <b/>
        <sz val="10"/>
        <color theme="0"/>
        <rFont val="Arial"/>
        <family val="2"/>
      </rPr>
      <t>W19.88</t>
    </r>
    <r>
      <rPr>
        <b/>
        <sz val="8"/>
        <color theme="0"/>
        <rFont val="Arial"/>
        <family val="2"/>
      </rPr>
      <t xml:space="preserve">
</t>
    </r>
    <r>
      <rPr>
        <sz val="8"/>
        <color theme="0"/>
        <rFont val="Arial"/>
        <family val="2"/>
      </rPr>
      <t>Tiexi</t>
    </r>
  </si>
  <si>
    <r>
      <rPr>
        <b/>
        <sz val="10"/>
        <color theme="0"/>
        <rFont val="Arial"/>
        <family val="2"/>
      </rPr>
      <t>W19.10</t>
    </r>
    <r>
      <rPr>
        <b/>
        <sz val="8"/>
        <color theme="0"/>
        <rFont val="Arial"/>
        <family val="2"/>
      </rPr>
      <t xml:space="preserve">
</t>
    </r>
    <r>
      <rPr>
        <sz val="8"/>
        <color theme="0"/>
        <rFont val="Arial"/>
        <family val="2"/>
      </rPr>
      <t>Dadong B.50</t>
    </r>
  </si>
  <si>
    <r>
      <rPr>
        <b/>
        <sz val="10"/>
        <color theme="0"/>
        <rFont val="Arial"/>
        <family val="2"/>
      </rPr>
      <t>W10</t>
    </r>
    <r>
      <rPr>
        <sz val="8"/>
        <color theme="0"/>
        <rFont val="Arial"/>
        <family val="2"/>
      </rPr>
      <t xml:space="preserve">
Spartanburg</t>
    </r>
  </si>
  <si>
    <r>
      <rPr>
        <b/>
        <sz val="10"/>
        <color theme="0"/>
        <rFont val="Arial"/>
        <family val="2"/>
      </rPr>
      <t>W9</t>
    </r>
    <r>
      <rPr>
        <b/>
        <sz val="8"/>
        <color theme="0"/>
        <rFont val="Arial"/>
        <family val="2"/>
      </rPr>
      <t xml:space="preserve">
</t>
    </r>
    <r>
      <rPr>
        <sz val="8"/>
        <color theme="0"/>
        <rFont val="Arial"/>
        <family val="2"/>
      </rPr>
      <t>Rosslyn</t>
    </r>
  </si>
  <si>
    <r>
      <rPr>
        <b/>
        <sz val="10"/>
        <color theme="0"/>
        <rFont val="Arial"/>
        <family val="2"/>
      </rPr>
      <t>W7</t>
    </r>
    <r>
      <rPr>
        <b/>
        <sz val="8"/>
        <color theme="0"/>
        <rFont val="Arial"/>
        <family val="2"/>
      </rPr>
      <t xml:space="preserve">
</t>
    </r>
    <r>
      <rPr>
        <sz val="8"/>
        <color theme="0"/>
        <rFont val="Arial"/>
        <family val="2"/>
      </rPr>
      <t>Leipzig</t>
    </r>
  </si>
  <si>
    <r>
      <rPr>
        <b/>
        <sz val="10"/>
        <color theme="0"/>
        <rFont val="Arial"/>
        <family val="2"/>
      </rPr>
      <t>W6</t>
    </r>
    <r>
      <rPr>
        <b/>
        <sz val="8"/>
        <color theme="0"/>
        <rFont val="Arial"/>
        <family val="2"/>
      </rPr>
      <t xml:space="preserve">
</t>
    </r>
    <r>
      <rPr>
        <sz val="8"/>
        <color theme="0"/>
        <rFont val="Arial"/>
        <family val="2"/>
      </rPr>
      <t>Regensburg</t>
    </r>
  </si>
  <si>
    <r>
      <rPr>
        <b/>
        <sz val="10"/>
        <color theme="0"/>
        <rFont val="Arial"/>
        <family val="2"/>
      </rPr>
      <t>W34</t>
    </r>
    <r>
      <rPr>
        <b/>
        <sz val="8"/>
        <color theme="0"/>
        <rFont val="Arial"/>
        <family val="2"/>
      </rPr>
      <t xml:space="preserve">
</t>
    </r>
    <r>
      <rPr>
        <sz val="8"/>
        <color theme="0"/>
        <rFont val="Arial"/>
        <family val="2"/>
      </rPr>
      <t>Oxford</t>
    </r>
  </si>
  <si>
    <r>
      <rPr>
        <b/>
        <sz val="10"/>
        <color theme="0"/>
        <rFont val="Arial"/>
        <family val="2"/>
      </rPr>
      <t>W2</t>
    </r>
    <r>
      <rPr>
        <b/>
        <sz val="8"/>
        <color theme="0"/>
        <rFont val="Arial"/>
        <family val="2"/>
      </rPr>
      <t xml:space="preserve">
</t>
    </r>
    <r>
      <rPr>
        <sz val="8"/>
        <color theme="0"/>
        <rFont val="Arial"/>
        <family val="2"/>
      </rPr>
      <t>Dingolfing</t>
    </r>
  </si>
  <si>
    <r>
      <rPr>
        <b/>
        <sz val="10"/>
        <color theme="0"/>
        <rFont val="Arial"/>
        <family val="2"/>
      </rPr>
      <t>W1</t>
    </r>
    <r>
      <rPr>
        <b/>
        <sz val="8"/>
        <color theme="0"/>
        <rFont val="Arial"/>
        <family val="2"/>
      </rPr>
      <t xml:space="preserve">
</t>
    </r>
    <r>
      <rPr>
        <sz val="8"/>
        <color theme="0"/>
        <rFont val="Arial"/>
        <family val="2"/>
      </rPr>
      <t>Munich</t>
    </r>
  </si>
  <si>
    <t>Facility specific Information/ Anlagenspezifische Informationation</t>
  </si>
  <si>
    <t>Process information/ Prozessbeschreibung</t>
  </si>
  <si>
    <t>Facility specific interface contract IPS-L
Anlagenspezifischer Schnittstellenkontrakt IPS-L</t>
  </si>
  <si>
    <t>IPSL0610</t>
  </si>
  <si>
    <t>The blue-marked cells are necessary to correctly fill in the telegram sheets!
Die blau-markierten Zellen sind zur richtigen Befüllung der Telegramme notwendig!</t>
  </si>
  <si>
    <t>Facility specific part / Anwenderspezifischer Teil</t>
  </si>
  <si>
    <t>Please only use underscores - no blanks/ Als Füllzeichen nur Unterstriche und keine Leerzeichen verwenden</t>
  </si>
  <si>
    <t>Test date</t>
  </si>
  <si>
    <t>(5-digits)</t>
  </si>
  <si>
    <t>(8-digits)</t>
  </si>
  <si>
    <t>SOP date (interface go-live)</t>
  </si>
  <si>
    <t>Key of data set (OR/ FG/ FZ/ ID)</t>
  </si>
  <si>
    <t>Data request</t>
  </si>
  <si>
    <t>Port information</t>
  </si>
  <si>
    <t>Key of data set</t>
  </si>
  <si>
    <t>Data request event</t>
  </si>
  <si>
    <t>OR= Order number/ Auftragsnummer
FZ= FZS number/ Fahrzeugsteuerschlüssel
FG= Vin number/ Fahrgestellnummer
(ID= Identification number/ Identifikationsnummer)</t>
  </si>
  <si>
    <t>Trigger point</t>
  </si>
  <si>
    <t>Trigger event</t>
  </si>
  <si>
    <t xml:space="preserve">IPS-L data </t>
  </si>
  <si>
    <t>IPS connection monitoring</t>
  </si>
  <si>
    <t>PLC connection monitoring</t>
  </si>
  <si>
    <t>Source facility (e.g. AKZ)</t>
  </si>
  <si>
    <t>Controls Planner</t>
  </si>
  <si>
    <t xml:space="preserve">IT Planner </t>
  </si>
  <si>
    <t>Short Description and AKZ + TPA/ Ticket (if available)</t>
  </si>
  <si>
    <t>Data amount</t>
  </si>
  <si>
    <t>IPSL1075</t>
  </si>
  <si>
    <t>Control room tel-number/ Störnummer</t>
  </si>
  <si>
    <r>
      <rPr>
        <b/>
        <sz val="10"/>
        <color theme="0"/>
        <rFont val="Arial"/>
        <family val="2"/>
      </rPr>
      <t>W35</t>
    </r>
    <r>
      <rPr>
        <b/>
        <sz val="8"/>
        <color theme="0"/>
        <rFont val="Arial"/>
        <family val="2"/>
      </rPr>
      <t xml:space="preserve">
</t>
    </r>
    <r>
      <rPr>
        <sz val="8"/>
        <color theme="0"/>
        <rFont val="Arial"/>
        <family val="2"/>
      </rPr>
      <t>Brasil</t>
    </r>
  </si>
  <si>
    <t>IPSL3500</t>
  </si>
  <si>
    <t>PLC_Connection_ID=2: RCF1006 Communication parameters Overview/ Kommunikationsparameter Überblick Werke</t>
  </si>
  <si>
    <t>TSAP PLC_local
ASCII (CP/ CPU)  ab 2014</t>
  </si>
  <si>
    <t>Destination / Ziel</t>
  </si>
  <si>
    <t>TMOAKZ01</t>
  </si>
  <si>
    <t xml:space="preserve">Final destination of the message: Identifies IPS-L as communication partner. Location idendifier: two digits for the location, two digits for the premises &lt;SS&gt;&lt;LL&gt; </t>
  </si>
  <si>
    <t xml:space="preserve">Final destination of the message: Identifies IPS-L as communication partner. Location idendifier: two digits for the location, two digits for the premises </t>
  </si>
  <si>
    <t>Z2150</t>
  </si>
  <si>
    <t>Start enable for vehicle from IPS_L</t>
  </si>
  <si>
    <t>IPS_MOVE</t>
  </si>
  <si>
    <t>RELEASE1</t>
  </si>
  <si>
    <t>IPS_MO_R</t>
  </si>
  <si>
    <t>Trigger point / Event for Empty tacts</t>
  </si>
  <si>
    <t xml:space="preserve">Z2200   </t>
  </si>
  <si>
    <t>Key of dataset (vin number,…) with leading zeros</t>
  </si>
  <si>
    <t>Description and  Ticket Number or TPA/ Anlagenbeschreibung und Ticketnummer oder TPA (falls verfügbar)</t>
  </si>
  <si>
    <t>PLC release telegram</t>
  </si>
  <si>
    <t>PLC data (Vin engraving result)</t>
  </si>
  <si>
    <t>PLC data (Engine and Georbox data)</t>
  </si>
  <si>
    <t>VINRSULT</t>
  </si>
  <si>
    <t>STATUS</t>
  </si>
  <si>
    <t>LONG VIN</t>
  </si>
  <si>
    <t>OKAY= Vin engraving successful
NOK_ = Vin engraving not successful</t>
  </si>
  <si>
    <t>Long Vin left aligned and filled with underscore</t>
  </si>
  <si>
    <t>LBV3M2103DMC18637_</t>
  </si>
  <si>
    <t>SPS_DATA (ZUORMOGE) data telegram for capturing Engine and Georbox data</t>
  </si>
  <si>
    <t>SPS_DATA (VINRSULT) data telegram for result about Vin engraving</t>
  </si>
  <si>
    <t>Type of acknowledgment NONE, as there is no feedback needed from IPS-L</t>
  </si>
  <si>
    <t>Telegram name
SPS_DATA</t>
  </si>
  <si>
    <t>Telegram name
SPS_DATA (ZUORMOGE) will always gel along with 'TRAN' as a reaction of an event-triggered data transfer. The acknowledgment is SPS_DA_R</t>
  </si>
  <si>
    <t>0005</t>
  </si>
  <si>
    <t>109 - 126</t>
  </si>
  <si>
    <t>127 - 130</t>
  </si>
  <si>
    <t>131 - 186</t>
  </si>
  <si>
    <t>8 digits used for the event 
RELEASE1-7 are possible for PLC</t>
  </si>
  <si>
    <t>102 is used as default port for all S7- facilities</t>
  </si>
  <si>
    <t>Please be aware, that for ICOMM you may need to use a differnt port.</t>
  </si>
  <si>
    <t>8 digits used for the event 
Z=L-counting point; M=MOFI; T=cycle
5 digits for the event, filled with 3 blanks</t>
  </si>
  <si>
    <t>ZUORMOGE0001234567</t>
  </si>
  <si>
    <t>Acknowledgement telegram from PLC</t>
  </si>
  <si>
    <t>RELEASE10001234567</t>
  </si>
  <si>
    <t xml:space="preserve">Z3000   </t>
  </si>
  <si>
    <t xml:space="preserve">The transaction ID is made of EVENT (8-digits) 
and KEY (10 digits) </t>
  </si>
  <si>
    <t>(e.g. 0010)</t>
  </si>
  <si>
    <t>IPS-L kann folgende Errorcodes im Telegramm an die SPS melden:</t>
  </si>
  <si>
    <t>KMER</t>
  </si>
  <si>
    <t>DBER</t>
  </si>
  <si>
    <t>EXER</t>
  </si>
  <si>
    <t>DIDT</t>
  </si>
  <si>
    <t>PNNA</t>
  </si>
  <si>
    <t>UNKN</t>
  </si>
  <si>
    <t>(Partner)</t>
  </si>
  <si>
    <t>TSAP (remote)</t>
  </si>
  <si>
    <t>8 digits used for the event 
Z=L-counting point; M=MOFI; T=cycle
left aligned, filled with 3blanks</t>
  </si>
  <si>
    <t>(Local)</t>
  </si>
  <si>
    <t>TSAP PLC_remote</t>
  </si>
  <si>
    <t>TSAP remote (IPS-L KM)</t>
  </si>
  <si>
    <t>TSAP PLC local = AKZ</t>
  </si>
  <si>
    <t>active</t>
  </si>
  <si>
    <t>passive</t>
  </si>
  <si>
    <t>SOURCE</t>
  </si>
  <si>
    <t>DESTINATION</t>
  </si>
  <si>
    <t xml:space="preserve">TSAP of partner connection/ TSAP des Verbindungspartners
</t>
  </si>
  <si>
    <r>
      <rPr>
        <b/>
        <sz val="10"/>
        <rFont val="Arial"/>
        <family val="2"/>
      </rPr>
      <t>TSAP (local)</t>
    </r>
    <r>
      <rPr>
        <sz val="10"/>
        <rFont val="Arial"/>
        <family val="2"/>
      </rPr>
      <t xml:space="preserve">
TSAP of the local facility/ TSAP der lokalen Anlage
</t>
    </r>
  </si>
  <si>
    <t>Data telegram proactively sent by IPS-L based on a defined data request event (push) 
Datentelelgramm wird direkt von IPS-L an die Anlage gesendet basierend auf einen Zählpunkt (Push)</t>
  </si>
  <si>
    <t>Connection test triggered by IPS-L
Verbindungstest, angestoßen von IPS-L</t>
  </si>
  <si>
    <t>Connection test triggered by PLC
Verbindungstest, angestoßen von der SPS</t>
  </si>
  <si>
    <t>Amount of data sets requested from IPS-L
Anzahl der von IPS-L angeforderten Daten</t>
  </si>
  <si>
    <t>Defined together with IPS-L OSM team
Wird gemeinsam mit den IPS-L OSM Team definiert</t>
  </si>
  <si>
    <t>Telegram sent by PLC to provide a status about Vin engraving result with Event= VINRSULT
Telegramm als Statusmeldung einer Prägeanlage (FG-Nr.) mit Event=VINRSULT</t>
  </si>
  <si>
    <t>Engine and gearbox data information sent to IPS-L with Event= ZUORMOGE
Motor und Getriebedaten an IPS-L mit Event=ZUORMOGE</t>
  </si>
  <si>
    <t>Telegram sent by IPS-L to release vehicle on PLC (please check with Fachteam)
Telegramm wird von IPS-L zur Fahrtfreigabe an die SPS gesendet (bitte mit Fachteam abstimmen)</t>
  </si>
  <si>
    <t>Requesting only a single data from IPS-L (pull)
Anforderung eines ersten, einzelnen Datensatzes von IPS-L (Pull)</t>
  </si>
  <si>
    <t xml:space="preserve">Event from which the data is sent by IPS-L to PLC/PC
E.g.: "REAL3000" or "Z3000   " (8 digits filled with blanks)
Zählpunkt von dem das Datentelegramm an die SPS gesendet wird
</t>
  </si>
  <si>
    <t>Event from which the data is requested from IPS-L to PLC/PC
E.g.: "REAL3000" or "Z3000   " (8 digits filled with blanks)</t>
  </si>
  <si>
    <t>Requesting a complete data block from IPS-Lwith the last valid data
Anforderung eines gesamten Datenblocks von IPS-L, basierend auf dem letzten gültigen Datensatz</t>
  </si>
  <si>
    <t>Trigger point information sent from PLC at a defined position
Zählpunkt- Information wird von der SPS an einer definierter Position versendet</t>
  </si>
  <si>
    <t>Bitte beachten, dass für eine ICOMM Kopplung evtl. ein anderer Port genutzt werden muss</t>
  </si>
  <si>
    <t>Changes/ Änderungen</t>
  </si>
  <si>
    <t>IPS-L Check List (filled by business planer)</t>
  </si>
  <si>
    <t>Comment</t>
  </si>
  <si>
    <t>Tick in box, if done</t>
  </si>
  <si>
    <t>Check of IPS-L trace after telegram exchange
Prüfung des IPS-L spools nach Telegrammverkehr</t>
  </si>
  <si>
    <t>Check correct parameters on HMI (IPS-L/PLC/block request) 
(Picture: IPS-L data)
Prüfung der korrekten Parameter im HVO (IPS-L/ SPS/ Blockanforderung)  (Bild: IPS-L Daten)</t>
  </si>
  <si>
    <t>Check of IPS-L data request interval (FC553)
Prüfung des IPS-L Intervalls für Datenabrufe (FC553)</t>
  </si>
  <si>
    <t>Check of IPS-L send function (FC 552) for timer adjustment
Prüfung der IPS-L Sendefunktion (FC 552) für die Zeiteinstellung</t>
  </si>
  <si>
    <t xml:space="preserve">The standard configuration for transmitting telegrams to IPS-L is set on 500 ms. It can be adjusted, if necessary.
Die Standardeinstellung für das Versenden von IPS-L Telegrammen beträgt 500ms. Es kann bei explizitem Bedarf angepasst werden. </t>
  </si>
  <si>
    <t>Comparison of mechanical pre-carriage buffer with IPS-L spool/
Vergleich der mechanischen Vorlaufstrecke mit dem IPS-L Spool</t>
  </si>
  <si>
    <t>In many cases, the default amount of 100 IPS-L data sets does not fit to the requirements. Therefore it has to be checked and adjusted accordingly.
In den meisten Fällen stimmt der voreingestellte Wert von 100 IPS-L Datensätzen nicht mit dem tatsächlichen Bedarf überein und muss deshalb angepasst werden.</t>
  </si>
  <si>
    <t>The interval for block request to IPS-L depends on the filling degree of the IPS-L spool. It can be adjusted, if necessary.
Das Intervall für die Blockanforderung an IPS-L ist abhängig vom Füllgrad des IPS-L Spools. Es kann bei explizitem Bedarf angepasst werden.</t>
  </si>
  <si>
    <t>The trace function provides a good overview about the frequency of your telegrams to and from IPS-L.
Die Trace Funktion bietet eine gute Übersicht über die Häufigkeit der Telegramme von und nach IPS-L.</t>
  </si>
  <si>
    <t xml:space="preserve">If you are not clear about the different positions, please check the TMO_S7_interface_IPSL document.
Wenn es Fragen bezüglich der einzelnen Positionen gibt, bitte prüfe das TMO_S7_interface_IPSL Dokument. </t>
  </si>
  <si>
    <t>For detailed instructions, please check the interface document (TMO_S7_Interface_IPSL)</t>
  </si>
  <si>
    <t>Für detaillierte Anweisungen, bitte das Schnittstellendokument  (TMO_S7_interface_IPSL) hinzuziehen.</t>
  </si>
  <si>
    <t>IPSL1915</t>
  </si>
  <si>
    <r>
      <rPr>
        <b/>
        <sz val="10"/>
        <color theme="0"/>
        <rFont val="Arial"/>
        <family val="2"/>
      </rPr>
      <t>W.30</t>
    </r>
    <r>
      <rPr>
        <sz val="8"/>
        <color theme="0"/>
        <rFont val="Arial"/>
        <family val="2"/>
      </rPr>
      <t xml:space="preserve">
San Luis Potosi</t>
    </r>
  </si>
  <si>
    <r>
      <rPr>
        <b/>
        <sz val="10"/>
        <color theme="0"/>
        <rFont val="Arial"/>
        <family val="2"/>
      </rPr>
      <t>W19.10</t>
    </r>
    <r>
      <rPr>
        <b/>
        <sz val="8"/>
        <color theme="0"/>
        <rFont val="Arial"/>
        <family val="2"/>
      </rPr>
      <t xml:space="preserve">
</t>
    </r>
    <r>
      <rPr>
        <sz val="8"/>
        <color theme="0"/>
        <rFont val="Arial"/>
        <family val="2"/>
      </rPr>
      <t>Dadong B.52</t>
    </r>
  </si>
  <si>
    <t>IPSL3010</t>
  </si>
  <si>
    <r>
      <t xml:space="preserve">Telegram requirements / Telegrammanforderungen
</t>
    </r>
    <r>
      <rPr>
        <sz val="11"/>
        <rFont val="Arial"/>
        <family val="2"/>
      </rPr>
      <t xml:space="preserve">please note, that the IPS and PLC monitoring telegramms (PING telegrams) are standard and always needed.
bitte beachten, dass die IPS und SPS Verbindungstelegramme (PING Telegramme) Standard sind und immer benötigt werden. </t>
    </r>
  </si>
  <si>
    <t>Location of facility (Building/ Station)</t>
  </si>
  <si>
    <r>
      <rPr>
        <b/>
        <sz val="10"/>
        <color theme="0"/>
        <rFont val="Arial"/>
        <family val="2"/>
      </rPr>
      <t>W19.10</t>
    </r>
    <r>
      <rPr>
        <sz val="9"/>
        <color theme="0"/>
        <rFont val="Arial"/>
        <family val="2"/>
      </rPr>
      <t xml:space="preserve">
Dadong B.55</t>
    </r>
  </si>
  <si>
    <t>Engine variation: “O_”= petrol engine, “D_”= diesel, "X_" = hybrid</t>
  </si>
  <si>
    <t>Initial draft agreed and distributed</t>
  </si>
  <si>
    <t xml:space="preserve">Telegramme überarbeitet, IPS_MOVE ergänzt/ telegram adjustment, IPS_MOVE integrated </t>
  </si>
  <si>
    <t xml:space="preserve">IPS_MOVE Haeder richtiggestellt/ IPS_MOVE header adjustment  </t>
  </si>
  <si>
    <t xml:space="preserve">Übersetzung gelbe box/ translation yellow box   </t>
  </si>
  <si>
    <t>additional register "checklist_requestor"</t>
  </si>
  <si>
    <t>additional plants included (Dadong B.55 &amp; San Luis Potosi W30) + update telegram information for PING telegrams</t>
  </si>
  <si>
    <t xml:space="preserve">additional "X_" for hybrid </t>
  </si>
  <si>
    <r>
      <rPr>
        <b/>
        <sz val="10"/>
        <color theme="0"/>
        <rFont val="Arial"/>
        <family val="2"/>
      </rPr>
      <t>W.50</t>
    </r>
    <r>
      <rPr>
        <sz val="8"/>
        <color theme="0"/>
        <rFont val="Arial"/>
        <family val="2"/>
      </rPr>
      <t xml:space="preserve">
Rolls-Royce</t>
    </r>
  </si>
  <si>
    <t>ASSIPSL</t>
  </si>
  <si>
    <t>Plant 50 Rolls Roycs ergänzt</t>
  </si>
  <si>
    <t>Empfangstelegramm von SPS wurde korrekt ausgewertet
Receipt telegram was correct evaluated from PLC</t>
  </si>
  <si>
    <t xml:space="preserve">(Kommunication Machine Error) </t>
  </si>
  <si>
    <t>Beim Weiterleiten eines Telegramms trat ein KM-Fehler auf, der ein Weiterleiten verhinderte
KM-error during the transfer of the telegramm which prevented the transfer</t>
  </si>
  <si>
    <t xml:space="preserve">(DataBase ERror) </t>
  </si>
  <si>
    <t>Bei der Durchführung eines Datenbankzugriffs trat ein Fehler auf; die Datenbankaktion scheiterte, es erfolgte ein DB-Rollback.
During the access to data base caused a error. The data base action failed. A DB roll back took place.</t>
  </si>
  <si>
    <t xml:space="preserve">(EXecution ERror) </t>
  </si>
  <si>
    <t>Bei der logischen Abarbeitung eines Telegramms trat ein Fehler auf; die Bearbeitung des Telegramms scheiterte.
The logical execution of the telegram failed caused by an error.</t>
  </si>
  <si>
    <t xml:space="preserve">(Double IDenT) </t>
  </si>
  <si>
    <t>Die im Telegramm enthaltene Identnummer gibt es mehrfach in der DB; (double Ident); die Bearbeitung des Telegramms scheiterte.
The ident number in the telegram exists two times in the DB. (Double ident). The execution of the telegram failed.</t>
  </si>
  <si>
    <t xml:space="preserve">(Part Number Not Available) </t>
  </si>
  <si>
    <t>Die im Telegramm enthaltene Bauteil-Nr / Ordernummer gibt es nicht in der DB; die Bearbeitung des Telegramms scheiterte.
The part number or order number doesn`t exists in the DB. The execution of the telegram failed.</t>
  </si>
  <si>
    <t xml:space="preserve">(UN KNown) </t>
  </si>
  <si>
    <t>Empfangenes Telegramm ist nicht bekannt
Received telegram is unknown.</t>
  </si>
  <si>
    <t>DENO</t>
  </si>
  <si>
    <t xml:space="preserve">(Double match engine number to order) </t>
  </si>
  <si>
    <t>Die bereit gestellte Motornummer existiert bereits im IPS-L System.
The provided engine number already exists in IPS-L system.</t>
  </si>
  <si>
    <t>DGEO</t>
  </si>
  <si>
    <t xml:space="preserve">(Double match gearbox number to order) </t>
  </si>
  <si>
    <t>Die bereit gestellte Getriebenummer existiert bereits im IPS-L System.
The provided gearbox number already exists in IPS-L system.</t>
  </si>
  <si>
    <t>DOEN</t>
  </si>
  <si>
    <t xml:space="preserve">(Double match order to engine number) </t>
  </si>
  <si>
    <t>Es ist bereits eine Motornummer zu diesem Auftrag vorhanden.
There is already an engine number linked to this order.</t>
  </si>
  <si>
    <t>DOGE</t>
  </si>
  <si>
    <t xml:space="preserve">(Double match order to gearbox number) </t>
  </si>
  <si>
    <t>Es ist bereits eine Getriebenummer zu diesem Auftrag vorhanden.
There is already a gearbox number linked to this order.</t>
  </si>
  <si>
    <t>DENO, DEGO, DOEN, DOGE errorcodes added and translation of description</t>
  </si>
  <si>
    <t>BMW Group</t>
  </si>
  <si>
    <r>
      <rPr>
        <b/>
        <sz val="10"/>
        <color theme="1"/>
        <rFont val="BMW Group Condensed"/>
        <family val="2"/>
      </rPr>
      <t>Unterlagenklasse / Class of documents :</t>
    </r>
    <r>
      <rPr>
        <sz val="10"/>
        <color theme="1"/>
        <rFont val="BMW Group Condensed"/>
        <family val="2"/>
      </rPr>
      <t xml:space="preserve"> 7.1</t>
    </r>
  </si>
  <si>
    <r>
      <rPr>
        <b/>
        <sz val="10"/>
        <color theme="1"/>
        <rFont val="BMW Group Condensed"/>
        <family val="2"/>
      </rPr>
      <t>Nr.</t>
    </r>
    <r>
      <rPr>
        <sz val="10"/>
        <color theme="1"/>
        <rFont val="BMW Group Condensed"/>
        <family val="2"/>
      </rPr>
      <t>: E_03.05.1</t>
    </r>
  </si>
  <si>
    <r>
      <rPr>
        <b/>
        <sz val="10"/>
        <color theme="1"/>
        <rFont val="BMW Group Condensed"/>
        <family val="2"/>
      </rPr>
      <t>Gültigkeitsbereich / Valid for:</t>
    </r>
    <r>
      <rPr>
        <sz val="10"/>
        <color theme="1"/>
        <rFont val="BMW Group Condensed"/>
        <family val="2"/>
      </rPr>
      <t xml:space="preserve"> Technologie Montage / technology final assembly</t>
    </r>
  </si>
  <si>
    <r>
      <rPr>
        <b/>
        <sz val="10"/>
        <color theme="1"/>
        <rFont val="BMW Group Condensed"/>
        <family val="2"/>
      </rPr>
      <t>Status:</t>
    </r>
    <r>
      <rPr>
        <sz val="10"/>
        <color theme="1"/>
        <rFont val="BMW Group Condensed"/>
        <family val="2"/>
      </rPr>
      <t xml:space="preserve">
Valid</t>
    </r>
  </si>
  <si>
    <t>Beteiligte Personen/Fachstellen/Gremien :  
Involved persons/department/committees:</t>
  </si>
  <si>
    <t>Fachteam Steuerungstechnik</t>
  </si>
  <si>
    <t>Änderungshistorie / changes</t>
  </si>
  <si>
    <t>Version / Revision</t>
  </si>
  <si>
    <t>Bemerkung / Remarks</t>
  </si>
  <si>
    <t>Ersteller  / Written by
Kurzzeichen / Department
Datum / Date</t>
  </si>
  <si>
    <t>Prüfer / Validated by
Kurzzeichen / Department
Datum / Date</t>
  </si>
  <si>
    <t>Freigeber / Released on
Kurzzeichen / Department
Datum / Date</t>
  </si>
  <si>
    <t>2.0</t>
  </si>
  <si>
    <t>Lenkungsinformationen eingefügt</t>
  </si>
  <si>
    <t>S. Brauner, TP-412, 17.08.2017</t>
  </si>
  <si>
    <t>D. Hammerschmidt, TP-471, 17.08.2017</t>
  </si>
  <si>
    <t>H. Schwenk, TP-461, 17.08.2017</t>
  </si>
  <si>
    <t>1.0</t>
  </si>
  <si>
    <t>Schrott, TP-412, 02.06.2017</t>
  </si>
  <si>
    <t>A. Wegerer, 13.12.2016</t>
  </si>
  <si>
    <t>S. Brauner, 21.12.2015</t>
  </si>
  <si>
    <t>C. Harnik, 01.12.2015</t>
  </si>
  <si>
    <t>C. Harnik, 04.02.2015</t>
  </si>
  <si>
    <t>C. Harnik, 16.01.2015</t>
  </si>
  <si>
    <t>A. Wegerer, 03.09.2014</t>
  </si>
  <si>
    <t>A. Wegerer, 01.08.2014</t>
  </si>
  <si>
    <t>C. Harnik, 14.04.2014</t>
  </si>
  <si>
    <t>1.1</t>
  </si>
  <si>
    <t>1.2</t>
  </si>
  <si>
    <t>1.3</t>
  </si>
  <si>
    <t>1.4</t>
  </si>
  <si>
    <t>1.5</t>
  </si>
  <si>
    <t>1.6</t>
  </si>
  <si>
    <t>1.7</t>
  </si>
  <si>
    <t>1.8</t>
  </si>
  <si>
    <t>2.1</t>
  </si>
  <si>
    <t>M_NA</t>
  </si>
  <si>
    <t>Motor Number Not Available</t>
  </si>
  <si>
    <t>G_NA</t>
  </si>
  <si>
    <t>Gear Number Not Available</t>
  </si>
  <si>
    <t>MGNA</t>
  </si>
  <si>
    <t>Motor and Gear Number Not Available</t>
  </si>
  <si>
    <t>Für die im Telegramm enthaltene Identnummer ist keine Motornummer in der Datenbank
Engine number doesn't exist in database.</t>
  </si>
  <si>
    <t>Für die im Telegramm enthaltene Identnummer ist keine Getriebenummer in der Datenbank
Gearbox number doesn't exist in database.</t>
  </si>
  <si>
    <t>Für die im Telegramm enthaltene Identnummer ist keine Motor- und Getriebenummer in der Datenbank
Engine and gearbox number don't exist in database.</t>
  </si>
  <si>
    <t>123 - 132</t>
  </si>
  <si>
    <t>0333800409</t>
  </si>
  <si>
    <t>133 - 138</t>
  </si>
  <si>
    <t>139 - 186</t>
  </si>
  <si>
    <t>T. Berger, TP-441, 25.04.2018</t>
  </si>
  <si>
    <t>SPS_DATA (RAXLEDIF) data telegram for capturing Rear Axle Differential code</t>
  </si>
  <si>
    <t>RAXLEDIF0001234567</t>
  </si>
  <si>
    <t>RAXLEDIF</t>
  </si>
  <si>
    <t>Ordernumber</t>
  </si>
  <si>
    <t>Rear Axle Differential Code</t>
  </si>
  <si>
    <t>Locking Differential Code</t>
  </si>
  <si>
    <t>Empty</t>
  </si>
  <si>
    <r>
      <t xml:space="preserve">Type of acknowledgement after use of 'NONE' or 'TRAN' </t>
    </r>
    <r>
      <rPr>
        <sz val="10"/>
        <color rgb="FFFF0000"/>
        <rFont val="Arial"/>
        <family val="2"/>
      </rPr>
      <t>or 'STAT' (Receive error code status)</t>
    </r>
    <r>
      <rPr>
        <sz val="10"/>
        <rFont val="Arial"/>
        <family val="2"/>
      </rPr>
      <t>. Acknowledgment based on the importance of the trigger point. Preferably 'NONE' for request.</t>
    </r>
  </si>
  <si>
    <t>X1 / X2</t>
  </si>
  <si>
    <t>8 digits used for the event 
Z=L-counting point; M=MOFI; T=cycle
left aligned, filled with blank</t>
  </si>
  <si>
    <t>X1' or 'X2' for empty tacts</t>
  </si>
  <si>
    <t>OR</t>
  </si>
  <si>
    <r>
      <t xml:space="preserve">Type of acknowledgment will be copied by IPS-L 'TRAN' or 'None' </t>
    </r>
    <r>
      <rPr>
        <sz val="10"/>
        <color rgb="FFFF0000"/>
        <rFont val="Arial"/>
        <family val="2"/>
      </rPr>
      <t>or 'STAT'</t>
    </r>
  </si>
  <si>
    <t>Errorcodes: M_NA, G_NA, MGNA errorcodes added;
SPS_DATA_ZUORMOGE: Gearbox number has 10 digits (123-132);
SPS_DATA_RAXLEDIF: as new Telegram;
TRIG_PNT: or 'STAT' to receive status codes from IPSL with  TRIG_P_R;
TRIG_PNT_empty: 8 digits used for event, empty tact info in field KEY_TYPE
    with 'X1' / 'X2';
SPS_DATA_..: Transaction ID contains continuous number and time stamp
   instead of ID</t>
  </si>
  <si>
    <t>103220180131120000</t>
  </si>
  <si>
    <t xml:space="preserve">The transaction ID is made of continuous number (4-digits) 
and timestamp (Format: YYYYMMDDhhmmss, 14 digits) </t>
  </si>
  <si>
    <t>115 - 175</t>
  </si>
  <si>
    <t>176 - 186</t>
  </si>
  <si>
    <t>2.2</t>
  </si>
  <si>
    <t>T. Berger, TP-441, 07.09.2018</t>
  </si>
  <si>
    <t>SPS_DATA_RAXLEDIF Ordernumber 7 digits</t>
  </si>
  <si>
    <t>2.3</t>
  </si>
  <si>
    <t>T. Berger, TP-441, 20.09.2018</t>
  </si>
  <si>
    <r>
      <rPr>
        <b/>
        <sz val="10"/>
        <color rgb="FFFF0000"/>
        <rFont val="BMW Group Condensed"/>
        <family val="2"/>
      </rPr>
      <t>Version / Revision:</t>
    </r>
    <r>
      <rPr>
        <sz val="10"/>
        <color rgb="FFFF0000"/>
        <rFont val="BMW Group Condensed"/>
        <family val="2"/>
      </rPr>
      <t xml:space="preserve"> 2.3            </t>
    </r>
  </si>
  <si>
    <t xml:space="preserve">TRIG_PNT/ TRIG_PNT_empty change of TRANSACTION-ID, transaction ID is made of continuous number (4-digits)  and timestamp (Format: YYYYMMDDhhmmss, 14 digits) </t>
  </si>
  <si>
    <t>0002</t>
  </si>
  <si>
    <t>20180131120000</t>
  </si>
</sst>
</file>

<file path=xl/styles.xml><?xml version="1.0" encoding="utf-8"?>
<styleSheet xmlns="http://schemas.openxmlformats.org/spreadsheetml/2006/main" xmlns:mc="http://schemas.openxmlformats.org/markup-compatibility/2006" xmlns:x14ac="http://schemas.microsoft.com/office/spreadsheetml/2009/9/ac" mc:Ignorable="x14ac">
  <fonts count="5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8"/>
      <name val="Arial"/>
      <family val="2"/>
    </font>
    <font>
      <sz val="10"/>
      <name val="Courier New"/>
      <family val="3"/>
    </font>
    <font>
      <b/>
      <sz val="12"/>
      <name val="Arial"/>
      <family val="2"/>
    </font>
    <font>
      <sz val="12"/>
      <name val="Arial"/>
      <family val="2"/>
    </font>
    <font>
      <b/>
      <sz val="14"/>
      <name val="Arial"/>
      <family val="2"/>
    </font>
    <font>
      <b/>
      <sz val="16"/>
      <name val="Arial"/>
      <family val="2"/>
    </font>
    <font>
      <sz val="16"/>
      <name val="Arial"/>
      <family val="2"/>
    </font>
    <font>
      <sz val="8"/>
      <name val="Arial"/>
      <family val="2"/>
    </font>
    <font>
      <sz val="9"/>
      <name val="Arial"/>
      <family val="2"/>
    </font>
    <font>
      <b/>
      <sz val="8"/>
      <name val="Arial"/>
      <family val="2"/>
    </font>
    <font>
      <sz val="10"/>
      <color rgb="FF000000"/>
      <name val="Arial"/>
      <family val="2"/>
    </font>
    <font>
      <b/>
      <sz val="8"/>
      <color indexed="81"/>
      <name val="Tahoma"/>
      <family val="2"/>
    </font>
    <font>
      <sz val="8"/>
      <color indexed="81"/>
      <name val="Tahoma"/>
      <family val="2"/>
    </font>
    <font>
      <sz val="10"/>
      <color rgb="FFFF0000"/>
      <name val="Arial"/>
      <family val="2"/>
    </font>
    <font>
      <sz val="8"/>
      <color rgb="FFFF0000"/>
      <name val="Arial"/>
      <family val="2"/>
    </font>
    <font>
      <i/>
      <sz val="10"/>
      <color rgb="FF000000"/>
      <name val="Arial"/>
      <family val="2"/>
    </font>
    <font>
      <b/>
      <sz val="10"/>
      <color theme="4"/>
      <name val="BMWType V2 Light"/>
    </font>
    <font>
      <b/>
      <sz val="11"/>
      <color theme="0"/>
      <name val="Arial"/>
      <family val="2"/>
    </font>
    <font>
      <b/>
      <sz val="12"/>
      <color theme="0"/>
      <name val="Arial"/>
      <family val="2"/>
    </font>
    <font>
      <b/>
      <sz val="10"/>
      <color theme="0"/>
      <name val="Arial"/>
      <family val="2"/>
    </font>
    <font>
      <b/>
      <sz val="8"/>
      <color theme="0"/>
      <name val="Arial"/>
      <family val="2"/>
    </font>
    <font>
      <sz val="8"/>
      <color theme="0"/>
      <name val="Arial"/>
      <family val="2"/>
    </font>
    <font>
      <sz val="14"/>
      <name val="BMWType V2 Bold"/>
    </font>
    <font>
      <b/>
      <sz val="12"/>
      <name val="Courier New"/>
      <family val="3"/>
    </font>
    <font>
      <sz val="12"/>
      <name val="Courier New"/>
      <family val="3"/>
    </font>
    <font>
      <b/>
      <sz val="16"/>
      <name val="Courier New"/>
      <family val="3"/>
    </font>
    <font>
      <sz val="12"/>
      <color theme="6" tint="-0.249977111117893"/>
      <name val="Arial"/>
      <family val="2"/>
    </font>
    <font>
      <sz val="9"/>
      <color theme="0"/>
      <name val="Arial"/>
      <family val="2"/>
    </font>
    <font>
      <sz val="11"/>
      <name val="Arial"/>
      <family val="2"/>
    </font>
    <font>
      <sz val="10"/>
      <color theme="1"/>
      <name val="Calibri"/>
      <family val="2"/>
      <scheme val="minor"/>
    </font>
    <font>
      <b/>
      <sz val="10"/>
      <color theme="1"/>
      <name val="BMW Group Condensed"/>
      <family val="2"/>
    </font>
    <font>
      <sz val="10"/>
      <color theme="1"/>
      <name val="BMW Group Condensed"/>
      <family val="2"/>
    </font>
    <font>
      <b/>
      <sz val="12"/>
      <color theme="1"/>
      <name val="BMW Group Condensed"/>
      <family val="2"/>
    </font>
    <font>
      <b/>
      <sz val="12"/>
      <color rgb="FF000000"/>
      <name val="BMW Group Condensed"/>
      <family val="2"/>
    </font>
    <font>
      <sz val="10"/>
      <color rgb="FF000000"/>
      <name val="BMW Group Condensed"/>
      <family val="2"/>
    </font>
    <font>
      <sz val="9"/>
      <color theme="1"/>
      <name val="BMW Group Condensed"/>
      <family val="2"/>
    </font>
    <font>
      <sz val="11"/>
      <color rgb="FFFF0000"/>
      <name val="Calibri"/>
      <family val="2"/>
      <scheme val="minor"/>
    </font>
    <font>
      <sz val="10"/>
      <color rgb="FFFF0000"/>
      <name val="BMW Group Condensed"/>
      <family val="2"/>
    </font>
    <font>
      <b/>
      <sz val="10"/>
      <color rgb="FFFF0000"/>
      <name val="BMW Group Condensed"/>
      <family val="2"/>
    </font>
    <font>
      <sz val="9"/>
      <color rgb="FFFF0000"/>
      <name val="BMW Group Condensed"/>
      <family val="2"/>
    </font>
    <font>
      <b/>
      <sz val="12"/>
      <color rgb="FFFF0000"/>
      <name val="Arial"/>
      <family val="2"/>
    </font>
    <font>
      <sz val="12"/>
      <color rgb="FFFF0000"/>
      <name val="Arial"/>
      <family val="2"/>
    </font>
    <font>
      <sz val="12"/>
      <color rgb="FFFF0000"/>
      <name val="Courier New"/>
      <family val="3"/>
    </font>
    <font>
      <b/>
      <sz val="16"/>
      <color rgb="FFFF0000"/>
      <name val="Courier New"/>
      <family val="3"/>
    </font>
    <font>
      <b/>
      <sz val="12"/>
      <color rgb="FFFF0000"/>
      <name val="Courier New"/>
      <family val="3"/>
    </font>
    <font>
      <sz val="10"/>
      <name val="BMW Group Condensed"/>
      <family val="2"/>
    </font>
    <font>
      <sz val="9"/>
      <name val="BMW Group Condensed"/>
      <family val="2"/>
    </font>
    <font>
      <sz val="11"/>
      <name val="Calibri"/>
      <family val="2"/>
      <scheme val="minor"/>
    </font>
  </fonts>
  <fills count="14">
    <fill>
      <patternFill patternType="none"/>
    </fill>
    <fill>
      <patternFill patternType="gray125"/>
    </fill>
    <fill>
      <patternFill patternType="solid">
        <fgColor indexed="41"/>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14999847407452621"/>
        <bgColor indexed="64"/>
      </patternFill>
    </fill>
  </fills>
  <borders count="132">
    <border>
      <left/>
      <right/>
      <top/>
      <bottom/>
      <diagonal/>
    </border>
    <border>
      <left style="medium">
        <color indexed="64"/>
      </left>
      <right style="medium">
        <color indexed="22"/>
      </right>
      <top style="medium">
        <color indexed="64"/>
      </top>
      <bottom style="medium">
        <color indexed="22"/>
      </bottom>
      <diagonal/>
    </border>
    <border>
      <left style="medium">
        <color indexed="22"/>
      </left>
      <right style="medium">
        <color indexed="22"/>
      </right>
      <top style="medium">
        <color indexed="64"/>
      </top>
      <bottom style="medium">
        <color indexed="22"/>
      </bottom>
      <diagonal/>
    </border>
    <border>
      <left style="medium">
        <color indexed="64"/>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64"/>
      </bottom>
      <diagonal/>
    </border>
    <border>
      <left style="medium">
        <color indexed="22"/>
      </left>
      <right/>
      <top style="medium">
        <color indexed="22"/>
      </top>
      <bottom style="medium">
        <color indexed="22"/>
      </bottom>
      <diagonal/>
    </border>
    <border>
      <left style="medium">
        <color indexed="64"/>
      </left>
      <right style="medium">
        <color indexed="22"/>
      </right>
      <top style="medium">
        <color indexed="22"/>
      </top>
      <bottom style="medium">
        <color indexed="64"/>
      </bottom>
      <diagonal/>
    </border>
    <border>
      <left style="medium">
        <color indexed="22"/>
      </left>
      <right/>
      <top style="medium">
        <color indexed="22"/>
      </top>
      <bottom style="medium">
        <color indexed="64"/>
      </bottom>
      <diagonal/>
    </border>
    <border>
      <left style="medium">
        <color indexed="22"/>
      </left>
      <right style="medium">
        <color indexed="64"/>
      </right>
      <top style="medium">
        <color indexed="64"/>
      </top>
      <bottom style="medium">
        <color indexed="22"/>
      </bottom>
      <diagonal/>
    </border>
    <border>
      <left style="medium">
        <color indexed="22"/>
      </left>
      <right style="medium">
        <color indexed="64"/>
      </right>
      <top style="medium">
        <color indexed="22"/>
      </top>
      <bottom style="medium">
        <color indexed="22"/>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22"/>
      </top>
      <bottom style="medium">
        <color indexed="64"/>
      </bottom>
      <diagonal/>
    </border>
    <border>
      <left style="medium">
        <color indexed="22"/>
      </left>
      <right style="medium">
        <color indexed="64"/>
      </right>
      <top style="medium">
        <color indexed="22"/>
      </top>
      <bottom style="medium">
        <color indexed="64"/>
      </bottom>
      <diagonal/>
    </border>
    <border>
      <left style="medium">
        <color indexed="64"/>
      </left>
      <right style="medium">
        <color indexed="55"/>
      </right>
      <top style="medium">
        <color indexed="64"/>
      </top>
      <bottom style="medium">
        <color indexed="55"/>
      </bottom>
      <diagonal/>
    </border>
    <border>
      <left style="medium">
        <color indexed="55"/>
      </left>
      <right style="medium">
        <color indexed="64"/>
      </right>
      <top style="medium">
        <color indexed="64"/>
      </top>
      <bottom style="medium">
        <color indexed="55"/>
      </bottom>
      <diagonal/>
    </border>
    <border>
      <left/>
      <right style="medium">
        <color indexed="55"/>
      </right>
      <top style="medium">
        <color indexed="64"/>
      </top>
      <bottom style="medium">
        <color indexed="55"/>
      </bottom>
      <diagonal/>
    </border>
    <border>
      <left style="medium">
        <color indexed="55"/>
      </left>
      <right style="medium">
        <color indexed="55"/>
      </right>
      <top style="medium">
        <color indexed="64"/>
      </top>
      <bottom style="medium">
        <color indexed="55"/>
      </bottom>
      <diagonal/>
    </border>
    <border>
      <left style="medium">
        <color indexed="64"/>
      </left>
      <right style="medium">
        <color indexed="55"/>
      </right>
      <top style="medium">
        <color indexed="55"/>
      </top>
      <bottom style="medium">
        <color indexed="55"/>
      </bottom>
      <diagonal/>
    </border>
    <border>
      <left style="medium">
        <color indexed="55"/>
      </left>
      <right style="medium">
        <color indexed="64"/>
      </right>
      <top style="medium">
        <color indexed="55"/>
      </top>
      <bottom style="medium">
        <color indexed="55"/>
      </bottom>
      <diagonal/>
    </border>
    <border>
      <left/>
      <right style="medium">
        <color indexed="55"/>
      </right>
      <top style="medium">
        <color indexed="55"/>
      </top>
      <bottom style="medium">
        <color indexed="55"/>
      </bottom>
      <diagonal/>
    </border>
    <border>
      <left style="medium">
        <color indexed="55"/>
      </left>
      <right style="medium">
        <color indexed="55"/>
      </right>
      <top style="medium">
        <color indexed="55"/>
      </top>
      <bottom style="medium">
        <color indexed="55"/>
      </bottom>
      <diagonal/>
    </border>
    <border>
      <left style="medium">
        <color indexed="64"/>
      </left>
      <right style="medium">
        <color indexed="55"/>
      </right>
      <top style="medium">
        <color indexed="55"/>
      </top>
      <bottom style="medium">
        <color indexed="64"/>
      </bottom>
      <diagonal/>
    </border>
    <border>
      <left style="medium">
        <color indexed="55"/>
      </left>
      <right style="medium">
        <color indexed="64"/>
      </right>
      <top style="medium">
        <color indexed="55"/>
      </top>
      <bottom style="medium">
        <color indexed="64"/>
      </bottom>
      <diagonal/>
    </border>
    <border>
      <left/>
      <right style="medium">
        <color indexed="55"/>
      </right>
      <top style="medium">
        <color indexed="55"/>
      </top>
      <bottom style="medium">
        <color indexed="64"/>
      </bottom>
      <diagonal/>
    </border>
    <border>
      <left style="medium">
        <color indexed="55"/>
      </left>
      <right style="medium">
        <color indexed="55"/>
      </right>
      <top style="medium">
        <color indexed="55"/>
      </top>
      <bottom style="medium">
        <color indexed="64"/>
      </bottom>
      <diagonal/>
    </border>
    <border>
      <left style="medium">
        <color indexed="64"/>
      </left>
      <right style="medium">
        <color indexed="55"/>
      </right>
      <top style="medium">
        <color indexed="64"/>
      </top>
      <bottom style="medium">
        <color indexed="64"/>
      </bottom>
      <diagonal/>
    </border>
    <border>
      <left style="medium">
        <color indexed="55"/>
      </left>
      <right style="medium">
        <color indexed="64"/>
      </right>
      <top style="medium">
        <color indexed="64"/>
      </top>
      <bottom style="medium">
        <color indexed="64"/>
      </bottom>
      <diagonal/>
    </border>
    <border>
      <left/>
      <right style="medium">
        <color indexed="55"/>
      </right>
      <top style="medium">
        <color indexed="64"/>
      </top>
      <bottom style="medium">
        <color indexed="64"/>
      </bottom>
      <diagonal/>
    </border>
    <border>
      <left style="medium">
        <color indexed="55"/>
      </left>
      <right style="medium">
        <color indexed="55"/>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22"/>
      </right>
      <top style="medium">
        <color indexed="22"/>
      </top>
      <bottom/>
      <diagonal/>
    </border>
    <border>
      <left style="medium">
        <color indexed="22"/>
      </left>
      <right style="medium">
        <color indexed="22"/>
      </right>
      <top style="medium">
        <color indexed="22"/>
      </top>
      <bottom/>
      <diagonal/>
    </border>
    <border>
      <left style="medium">
        <color indexed="22"/>
      </left>
      <right/>
      <top style="medium">
        <color indexed="22"/>
      </top>
      <bottom/>
      <diagonal/>
    </border>
    <border>
      <left style="medium">
        <color indexed="22"/>
      </left>
      <right style="medium">
        <color indexed="64"/>
      </right>
      <top style="medium">
        <color indexed="22"/>
      </top>
      <bottom/>
      <diagonal/>
    </border>
    <border>
      <left/>
      <right style="medium">
        <color indexed="22"/>
      </right>
      <top style="medium">
        <color indexed="64"/>
      </top>
      <bottom style="medium">
        <color indexed="22"/>
      </bottom>
      <diagonal/>
    </border>
    <border>
      <left style="medium">
        <color indexed="64"/>
      </left>
      <right style="medium">
        <color indexed="64"/>
      </right>
      <top/>
      <bottom/>
      <diagonal/>
    </border>
    <border>
      <left style="medium">
        <color indexed="22"/>
      </left>
      <right style="medium">
        <color indexed="64"/>
      </right>
      <top/>
      <bottom style="medium">
        <color indexed="22"/>
      </bottom>
      <diagonal/>
    </border>
    <border>
      <left/>
      <right style="medium">
        <color indexed="22"/>
      </right>
      <top style="medium">
        <color indexed="22"/>
      </top>
      <bottom style="medium">
        <color indexed="22"/>
      </bottom>
      <diagonal/>
    </border>
    <border>
      <left style="medium">
        <color indexed="22"/>
      </left>
      <right style="medium">
        <color indexed="22"/>
      </right>
      <top/>
      <bottom style="medium">
        <color indexed="22"/>
      </bottom>
      <diagonal/>
    </border>
    <border>
      <left style="medium">
        <color indexed="22"/>
      </left>
      <right style="medium">
        <color indexed="64"/>
      </right>
      <top/>
      <bottom style="medium">
        <color indexed="64"/>
      </bottom>
      <diagonal/>
    </border>
    <border>
      <left style="medium">
        <color indexed="22"/>
      </left>
      <right style="medium">
        <color indexed="22"/>
      </right>
      <top/>
      <bottom style="medium">
        <color indexed="64"/>
      </bottom>
      <diagonal/>
    </border>
    <border>
      <left style="medium">
        <color indexed="64"/>
      </left>
      <right style="medium">
        <color indexed="22"/>
      </right>
      <top style="medium">
        <color indexed="22"/>
      </top>
      <bottom style="mediumDashed">
        <color indexed="64"/>
      </bottom>
      <diagonal/>
    </border>
    <border>
      <left style="medium">
        <color indexed="22"/>
      </left>
      <right style="medium">
        <color indexed="64"/>
      </right>
      <top style="medium">
        <color indexed="22"/>
      </top>
      <bottom style="mediumDashed">
        <color indexed="64"/>
      </bottom>
      <diagonal/>
    </border>
    <border>
      <left/>
      <right style="medium">
        <color indexed="22"/>
      </right>
      <top style="medium">
        <color indexed="22"/>
      </top>
      <bottom style="mediumDashed">
        <color indexed="64"/>
      </bottom>
      <diagonal/>
    </border>
    <border>
      <left style="medium">
        <color indexed="22"/>
      </left>
      <right style="medium">
        <color indexed="22"/>
      </right>
      <top style="medium">
        <color indexed="22"/>
      </top>
      <bottom style="mediumDashed">
        <color indexed="64"/>
      </bottom>
      <diagonal/>
    </border>
    <border>
      <left/>
      <right style="medium">
        <color indexed="22"/>
      </right>
      <top style="medium">
        <color indexed="22"/>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22"/>
      </right>
      <top style="medium">
        <color indexed="64"/>
      </top>
      <bottom style="medium">
        <color theme="0" tint="-0.24994659260841701"/>
      </bottom>
      <diagonal/>
    </border>
    <border>
      <left style="medium">
        <color indexed="64"/>
      </left>
      <right style="medium">
        <color indexed="22"/>
      </right>
      <top/>
      <bottom style="medium">
        <color theme="0" tint="-0.24994659260841701"/>
      </bottom>
      <diagonal/>
    </border>
    <border>
      <left/>
      <right style="medium">
        <color indexed="22"/>
      </right>
      <top style="medium">
        <color indexed="22"/>
      </top>
      <bottom style="medium">
        <color indexed="64"/>
      </bottom>
      <diagonal/>
    </border>
    <border>
      <left style="medium">
        <color auto="1"/>
      </left>
      <right style="medium">
        <color indexed="22"/>
      </right>
      <top style="medium">
        <color theme="0" tint="-0.24994659260841701"/>
      </top>
      <bottom style="medium">
        <color indexed="64"/>
      </bottom>
      <diagonal/>
    </border>
    <border>
      <left style="medium">
        <color indexed="55"/>
      </left>
      <right style="medium">
        <color indexed="55"/>
      </right>
      <top/>
      <bottom style="medium">
        <color indexed="64"/>
      </bottom>
      <diagonal/>
    </border>
    <border>
      <left/>
      <right style="medium">
        <color indexed="64"/>
      </right>
      <top style="medium">
        <color indexed="64"/>
      </top>
      <bottom style="medium">
        <color indexed="55"/>
      </bottom>
      <diagonal/>
    </border>
    <border>
      <left/>
      <right style="medium">
        <color indexed="64"/>
      </right>
      <top/>
      <bottom style="medium">
        <color indexed="55"/>
      </bottom>
      <diagonal/>
    </border>
    <border>
      <left/>
      <right style="medium">
        <color indexed="64"/>
      </right>
      <top/>
      <bottom style="medium">
        <color indexed="64"/>
      </bottom>
      <diagonal/>
    </border>
    <border>
      <left/>
      <right style="medium">
        <color indexed="64"/>
      </right>
      <top/>
      <bottom style="medium">
        <color indexed="22"/>
      </bottom>
      <diagonal/>
    </border>
    <border>
      <left style="medium">
        <color indexed="55"/>
      </left>
      <right style="medium">
        <color indexed="64"/>
      </right>
      <top style="medium">
        <color indexed="55"/>
      </top>
      <bottom/>
      <diagonal/>
    </border>
    <border>
      <left/>
      <right style="medium">
        <color indexed="64"/>
      </right>
      <top style="medium">
        <color indexed="22"/>
      </top>
      <bottom/>
      <diagonal/>
    </border>
    <border>
      <left style="medium">
        <color indexed="55"/>
      </left>
      <right style="medium">
        <color indexed="55"/>
      </right>
      <top/>
      <bottom style="medium">
        <color indexed="55"/>
      </bottom>
      <diagonal/>
    </border>
    <border>
      <left style="medium">
        <color auto="1"/>
      </left>
      <right style="medium">
        <color indexed="22"/>
      </right>
      <top style="medium">
        <color indexed="22"/>
      </top>
      <bottom style="medium">
        <color indexed="22"/>
      </bottom>
      <diagonal/>
    </border>
    <border>
      <left style="medium">
        <color auto="1"/>
      </left>
      <right style="medium">
        <color indexed="22"/>
      </right>
      <top style="medium">
        <color indexed="22"/>
      </top>
      <bottom style="medium">
        <color auto="1"/>
      </bottom>
      <diagonal/>
    </border>
    <border>
      <left style="medium">
        <color indexed="22"/>
      </left>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64"/>
      </left>
      <right style="medium">
        <color indexed="22"/>
      </right>
      <top style="medium">
        <color indexed="22"/>
      </top>
      <bottom style="medium">
        <color indexed="22"/>
      </bottom>
      <diagonal/>
    </border>
    <border>
      <left style="medium">
        <color indexed="22"/>
      </left>
      <right style="medium">
        <color indexed="64"/>
      </right>
      <top style="medium">
        <color indexed="22"/>
      </top>
      <bottom style="medium">
        <color indexed="22"/>
      </bottom>
      <diagonal/>
    </border>
    <border>
      <left style="medium">
        <color indexed="64"/>
      </left>
      <right/>
      <top style="medium">
        <color indexed="64"/>
      </top>
      <bottom/>
      <diagonal/>
    </border>
    <border>
      <left/>
      <right/>
      <top style="medium">
        <color indexed="64"/>
      </top>
      <bottom/>
      <diagonal/>
    </border>
    <border>
      <left style="medium">
        <color theme="0" tint="-0.24994659260841701"/>
      </left>
      <right style="medium">
        <color indexed="64"/>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indexed="64"/>
      </right>
      <top style="medium">
        <color theme="0" tint="-0.24994659260841701"/>
      </top>
      <bottom style="medium">
        <color indexed="64"/>
      </bottom>
      <diagonal/>
    </border>
    <border>
      <left/>
      <right style="medium">
        <color theme="0" tint="-0.24994659260841701"/>
      </right>
      <top style="medium">
        <color theme="0" tint="-0.24994659260841701"/>
      </top>
      <bottom style="medium">
        <color indexed="64"/>
      </bottom>
      <diagonal/>
    </border>
    <border>
      <left style="medium">
        <color theme="0" tint="-0.24994659260841701"/>
      </left>
      <right style="medium">
        <color theme="0" tint="-0.24994659260841701"/>
      </right>
      <top style="medium">
        <color theme="0" tint="-0.24994659260841701"/>
      </top>
      <bottom style="medium">
        <color indexed="64"/>
      </bottom>
      <diagonal/>
    </border>
    <border>
      <left style="medium">
        <color indexed="64"/>
      </left>
      <right style="medium">
        <color indexed="22"/>
      </right>
      <top style="medium">
        <color indexed="64"/>
      </top>
      <bottom style="medium">
        <color theme="0" tint="-0.14996795556505021"/>
      </bottom>
      <diagonal/>
    </border>
    <border>
      <left style="medium">
        <color indexed="22"/>
      </left>
      <right style="medium">
        <color indexed="64"/>
      </right>
      <top style="medium">
        <color indexed="64"/>
      </top>
      <bottom/>
      <diagonal/>
    </border>
    <border>
      <left/>
      <right style="medium">
        <color theme="0" tint="-0.24994659260841701"/>
      </right>
      <top style="medium">
        <color indexed="64"/>
      </top>
      <bottom style="medium">
        <color theme="0" tint="-0.24994659260841701"/>
      </bottom>
      <diagonal/>
    </border>
    <border>
      <left style="medium">
        <color theme="0" tint="-0.24994659260841701"/>
      </left>
      <right style="medium">
        <color theme="0" tint="-0.24994659260841701"/>
      </right>
      <top style="medium">
        <color indexed="64"/>
      </top>
      <bottom style="medium">
        <color theme="0" tint="-0.24994659260841701"/>
      </bottom>
      <diagonal/>
    </border>
    <border>
      <left style="medium">
        <color theme="0" tint="-0.24994659260841701"/>
      </left>
      <right style="medium">
        <color indexed="64"/>
      </right>
      <top style="medium">
        <color indexed="64"/>
      </top>
      <bottom style="medium">
        <color theme="0" tint="-0.24994659260841701"/>
      </bottom>
      <diagonal/>
    </border>
    <border>
      <left style="medium">
        <color indexed="64"/>
      </left>
      <right style="medium">
        <color indexed="22"/>
      </right>
      <top style="medium">
        <color theme="0" tint="-0.14996795556505021"/>
      </top>
      <bottom style="medium">
        <color indexed="22"/>
      </bottom>
      <diagonal/>
    </border>
    <border>
      <left style="medium">
        <color indexed="64"/>
      </left>
      <right style="medium">
        <color theme="0" tint="-0.24994659260841701"/>
      </right>
      <top style="medium">
        <color theme="0" tint="-0.24994659260841701"/>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2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Dashed">
        <color indexed="64"/>
      </left>
      <right style="medium">
        <color indexed="55"/>
      </right>
      <top style="mediumDashed">
        <color indexed="64"/>
      </top>
      <bottom style="thin">
        <color indexed="64"/>
      </bottom>
      <diagonal/>
    </border>
    <border>
      <left style="medium">
        <color indexed="55"/>
      </left>
      <right style="medium">
        <color indexed="64"/>
      </right>
      <top style="mediumDashed">
        <color indexed="64"/>
      </top>
      <bottom style="thin">
        <color indexed="64"/>
      </bottom>
      <diagonal/>
    </border>
    <border>
      <left/>
      <right style="medium">
        <color indexed="55"/>
      </right>
      <top style="mediumDashed">
        <color indexed="64"/>
      </top>
      <bottom style="thin">
        <color indexed="64"/>
      </bottom>
      <diagonal/>
    </border>
    <border>
      <left style="medium">
        <color indexed="55"/>
      </left>
      <right style="medium">
        <color indexed="55"/>
      </right>
      <top style="mediumDashed">
        <color indexed="64"/>
      </top>
      <bottom style="thin">
        <color indexed="64"/>
      </bottom>
      <diagonal/>
    </border>
    <border>
      <left style="medium">
        <color indexed="55"/>
      </left>
      <right style="mediumDashed">
        <color indexed="64"/>
      </right>
      <top style="mediumDashed">
        <color indexed="64"/>
      </top>
      <bottom style="thin">
        <color indexed="64"/>
      </bottom>
      <diagonal/>
    </border>
    <border>
      <left style="mediumDashed">
        <color indexed="64"/>
      </left>
      <right style="medium">
        <color indexed="55"/>
      </right>
      <top/>
      <bottom style="mediumDashed">
        <color indexed="64"/>
      </bottom>
      <diagonal/>
    </border>
    <border>
      <left style="medium">
        <color indexed="55"/>
      </left>
      <right style="medium">
        <color indexed="64"/>
      </right>
      <top/>
      <bottom style="mediumDashed">
        <color indexed="64"/>
      </bottom>
      <diagonal/>
    </border>
    <border>
      <left/>
      <right style="medium">
        <color indexed="55"/>
      </right>
      <top/>
      <bottom style="mediumDashed">
        <color indexed="64"/>
      </bottom>
      <diagonal/>
    </border>
    <border>
      <left style="medium">
        <color indexed="55"/>
      </left>
      <right style="medium">
        <color indexed="55"/>
      </right>
      <top/>
      <bottom style="mediumDashed">
        <color indexed="64"/>
      </bottom>
      <diagonal/>
    </border>
    <border>
      <left style="medium">
        <color indexed="55"/>
      </left>
      <right style="mediumDashed">
        <color indexed="64"/>
      </right>
      <top/>
      <bottom style="mediumDashed">
        <color indexed="64"/>
      </bottom>
      <diagonal/>
    </border>
    <border>
      <left style="medium">
        <color indexed="22"/>
      </left>
      <right/>
      <top style="medium">
        <color indexed="64"/>
      </top>
      <bottom style="medium">
        <color indexed="22"/>
      </bottom>
      <diagonal/>
    </border>
    <border>
      <left style="medium">
        <color indexed="64"/>
      </left>
      <right style="medium">
        <color indexed="55"/>
      </right>
      <top style="medium">
        <color indexed="55"/>
      </top>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rgb="FFFF0000"/>
      </top>
      <bottom style="medium">
        <color rgb="FFFF0000"/>
      </bottom>
      <diagonal/>
    </border>
    <border>
      <left/>
      <right/>
      <top/>
      <bottom style="dotted">
        <color indexed="64"/>
      </bottom>
      <diagonal/>
    </border>
    <border>
      <left/>
      <right style="thin">
        <color indexed="64"/>
      </right>
      <top/>
      <bottom style="dashed">
        <color indexed="64"/>
      </bottom>
      <diagonal/>
    </border>
    <border>
      <left/>
      <right/>
      <top style="dashed">
        <color indexed="64"/>
      </top>
      <bottom style="thin">
        <color indexed="64"/>
      </bottom>
      <diagonal/>
    </border>
    <border>
      <left/>
      <right/>
      <top style="dashed">
        <color indexed="64"/>
      </top>
      <bottom/>
      <diagonal/>
    </border>
    <border>
      <left/>
      <right/>
      <top/>
      <bottom style="dashed">
        <color indexed="64"/>
      </bottom>
      <diagonal/>
    </border>
    <border>
      <left style="thin">
        <color indexed="64"/>
      </left>
      <right/>
      <top/>
      <bottom style="dashed">
        <color indexed="64"/>
      </bottom>
      <diagonal/>
    </border>
    <border>
      <left style="thin">
        <color indexed="64"/>
      </left>
      <right/>
      <top style="dashed">
        <color indexed="64"/>
      </top>
      <bottom/>
      <diagonal/>
    </border>
    <border>
      <left/>
      <right style="thin">
        <color indexed="64"/>
      </right>
      <top style="dashed">
        <color indexed="64"/>
      </top>
      <bottom/>
      <diagonal/>
    </border>
    <border>
      <left/>
      <right style="medium">
        <color indexed="64"/>
      </right>
      <top style="medium">
        <color indexed="55"/>
      </top>
      <bottom style="medium">
        <color indexed="64"/>
      </bottom>
      <diagonal/>
    </border>
    <border>
      <left style="medium">
        <color indexed="64"/>
      </left>
      <right/>
      <top style="medium">
        <color indexed="22"/>
      </top>
      <bottom style="medium">
        <color indexed="64"/>
      </bottom>
      <diagonal/>
    </border>
    <border>
      <left style="medium">
        <color indexed="22"/>
      </left>
      <right style="medium">
        <color indexed="22"/>
      </right>
      <top style="medium">
        <color indexed="22"/>
      </top>
      <bottom style="medium">
        <color indexed="64"/>
      </bottom>
      <diagonal/>
    </border>
    <border>
      <left style="medium">
        <color indexed="64"/>
      </left>
      <right style="medium">
        <color indexed="22"/>
      </right>
      <top style="medium">
        <color indexed="22"/>
      </top>
      <bottom style="medium">
        <color indexed="22"/>
      </bottom>
      <diagonal/>
    </border>
    <border>
      <left style="medium">
        <color indexed="22"/>
      </left>
      <right/>
      <top style="medium">
        <color indexed="64"/>
      </top>
      <bottom/>
      <diagonal/>
    </border>
    <border>
      <left style="medium">
        <color indexed="22"/>
      </left>
      <right style="medium">
        <color indexed="64"/>
      </right>
      <top style="medium">
        <color indexed="22"/>
      </top>
      <bottom style="medium">
        <color indexed="22"/>
      </bottom>
      <diagonal/>
    </border>
    <border>
      <left style="medium">
        <color indexed="22"/>
      </left>
      <right/>
      <top style="medium">
        <color indexed="22"/>
      </top>
      <bottom style="medium">
        <color indexed="22"/>
      </bottom>
      <diagonal/>
    </border>
    <border>
      <left style="medium">
        <color auto="1"/>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top style="medium">
        <color indexed="22"/>
      </top>
      <bottom style="medium">
        <color indexed="64"/>
      </bottom>
      <diagonal/>
    </border>
  </borders>
  <cellStyleXfs count="7">
    <xf numFmtId="0" fontId="0" fillId="0" borderId="0"/>
    <xf numFmtId="0" fontId="3" fillId="0" borderId="0"/>
    <xf numFmtId="0" fontId="4" fillId="0" borderId="0"/>
    <xf numFmtId="0" fontId="2" fillId="0" borderId="0"/>
    <xf numFmtId="0" fontId="4" fillId="0" borderId="0"/>
    <xf numFmtId="0" fontId="36" fillId="0" borderId="0"/>
    <xf numFmtId="0" fontId="1" fillId="0" borderId="0"/>
  </cellStyleXfs>
  <cellXfs count="744">
    <xf numFmtId="0" fontId="0" fillId="0" borderId="0" xfId="0"/>
    <xf numFmtId="0" fontId="10" fillId="0" borderId="0" xfId="0" applyFont="1"/>
    <xf numFmtId="0" fontId="10" fillId="0" borderId="0" xfId="0" applyFont="1" applyAlignment="1">
      <alignment wrapText="1"/>
    </xf>
    <xf numFmtId="0" fontId="6" fillId="0" borderId="0" xfId="0" applyFont="1"/>
    <xf numFmtId="0" fontId="0" fillId="0" borderId="0" xfId="0" applyAlignment="1">
      <alignment wrapText="1"/>
    </xf>
    <xf numFmtId="0" fontId="10" fillId="0" borderId="32" xfId="0" applyFont="1" applyBorder="1" applyAlignment="1">
      <alignment wrapText="1"/>
    </xf>
    <xf numFmtId="49" fontId="0" fillId="0" borderId="0" xfId="0" applyNumberFormat="1" applyAlignment="1">
      <alignment wrapText="1"/>
    </xf>
    <xf numFmtId="0" fontId="5" fillId="0" borderId="0" xfId="0" applyFont="1" applyFill="1" applyBorder="1" applyAlignment="1">
      <alignment horizontal="center" vertical="center" textRotation="90"/>
    </xf>
    <xf numFmtId="0" fontId="0" fillId="0" borderId="0" xfId="0" applyFill="1" applyBorder="1" applyAlignment="1"/>
    <xf numFmtId="0" fontId="0" fillId="0" borderId="0" xfId="0" applyFill="1"/>
    <xf numFmtId="0" fontId="15" fillId="0" borderId="0" xfId="0" applyFont="1" applyFill="1" applyBorder="1" applyAlignment="1">
      <alignment horizontal="left" vertical="center"/>
    </xf>
    <xf numFmtId="49" fontId="15" fillId="0" borderId="0" xfId="0" applyNumberFormat="1" applyFont="1" applyFill="1" applyBorder="1" applyAlignment="1">
      <alignment horizontal="center" vertical="center"/>
    </xf>
    <xf numFmtId="0" fontId="15" fillId="0" borderId="0" xfId="0" applyFont="1" applyFill="1" applyBorder="1" applyAlignment="1">
      <alignment vertical="center"/>
    </xf>
    <xf numFmtId="0" fontId="15" fillId="0" borderId="0" xfId="0" applyFont="1" applyFill="1" applyBorder="1" applyAlignment="1">
      <alignment horizontal="center" vertical="center"/>
    </xf>
    <xf numFmtId="0" fontId="0" fillId="0" borderId="0" xfId="0" applyFill="1" applyAlignment="1">
      <alignment wrapText="1"/>
    </xf>
    <xf numFmtId="0" fontId="13" fillId="0" borderId="0" xfId="0" applyFont="1" applyAlignment="1"/>
    <xf numFmtId="0" fontId="14" fillId="0" borderId="34" xfId="0" applyFont="1" applyFill="1" applyBorder="1" applyAlignment="1">
      <alignment wrapText="1"/>
    </xf>
    <xf numFmtId="0" fontId="14" fillId="0" borderId="0" xfId="0" applyFont="1" applyFill="1" applyBorder="1" applyAlignment="1">
      <alignment wrapText="1"/>
    </xf>
    <xf numFmtId="0" fontId="7" fillId="0" borderId="34" xfId="0" applyFont="1" applyFill="1" applyBorder="1" applyAlignment="1">
      <alignment wrapText="1"/>
    </xf>
    <xf numFmtId="0" fontId="7" fillId="0" borderId="0" xfId="0" applyFont="1" applyFill="1" applyAlignment="1">
      <alignment wrapText="1"/>
    </xf>
    <xf numFmtId="0" fontId="14" fillId="0" borderId="0" xfId="0" applyFont="1" applyFill="1" applyAlignment="1">
      <alignment wrapText="1"/>
    </xf>
    <xf numFmtId="0" fontId="6" fillId="0" borderId="0" xfId="0" applyFont="1" applyFill="1" applyBorder="1"/>
    <xf numFmtId="0" fontId="14" fillId="0" borderId="34" xfId="0" applyFont="1" applyFill="1" applyBorder="1" applyAlignment="1">
      <alignment horizontal="center" wrapText="1"/>
    </xf>
    <xf numFmtId="0" fontId="14" fillId="0" borderId="0" xfId="0" applyFont="1" applyFill="1" applyBorder="1" applyAlignment="1">
      <alignment horizontal="center" wrapText="1"/>
    </xf>
    <xf numFmtId="0" fontId="9" fillId="3" borderId="11"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7" fillId="0" borderId="0" xfId="0" applyFont="1" applyFill="1" applyAlignment="1"/>
    <xf numFmtId="0" fontId="11" fillId="0" borderId="0" xfId="0" applyFont="1"/>
    <xf numFmtId="0" fontId="4" fillId="0" borderId="0" xfId="0" applyFont="1" applyAlignment="1">
      <alignment wrapText="1"/>
    </xf>
    <xf numFmtId="0" fontId="4" fillId="2" borderId="38" xfId="0" applyFont="1" applyFill="1" applyBorder="1" applyAlignment="1">
      <alignment vertical="center" wrapText="1"/>
    </xf>
    <xf numFmtId="49" fontId="4" fillId="5" borderId="4" xfId="0" applyNumberFormat="1" applyFont="1" applyFill="1" applyBorder="1" applyAlignment="1">
      <alignment horizontal="center"/>
    </xf>
    <xf numFmtId="0" fontId="4" fillId="5" borderId="63" xfId="0" applyFont="1" applyFill="1" applyBorder="1" applyAlignment="1">
      <alignment wrapText="1"/>
    </xf>
    <xf numFmtId="0" fontId="4" fillId="6" borderId="61" xfId="0" applyFont="1" applyFill="1" applyBorder="1" applyAlignment="1">
      <alignment wrapText="1"/>
    </xf>
    <xf numFmtId="0" fontId="0" fillId="0" borderId="0" xfId="0" applyAlignment="1">
      <alignment wrapText="1"/>
    </xf>
    <xf numFmtId="0" fontId="11" fillId="0" borderId="0" xfId="0" applyFont="1"/>
    <xf numFmtId="0" fontId="4" fillId="2" borderId="2" xfId="0" applyFont="1" applyFill="1" applyBorder="1" applyAlignment="1">
      <alignment horizontal="center" vertical="center"/>
    </xf>
    <xf numFmtId="49" fontId="4" fillId="2" borderId="2" xfId="0" applyNumberFormat="1" applyFont="1" applyFill="1" applyBorder="1" applyAlignment="1">
      <alignment horizontal="center" vertical="center" wrapText="1"/>
    </xf>
    <xf numFmtId="0" fontId="4" fillId="2" borderId="9" xfId="0" applyFont="1" applyFill="1" applyBorder="1" applyAlignment="1">
      <alignment vertical="center" wrapText="1"/>
    </xf>
    <xf numFmtId="49" fontId="4" fillId="2" borderId="65" xfId="0" applyNumberFormat="1" applyFont="1" applyFill="1" applyBorder="1" applyAlignment="1">
      <alignment horizontal="center" vertical="center"/>
    </xf>
    <xf numFmtId="0" fontId="4" fillId="2" borderId="68" xfId="0" applyFont="1" applyFill="1" applyBorder="1" applyAlignment="1">
      <alignment horizontal="center" vertical="center"/>
    </xf>
    <xf numFmtId="49" fontId="4" fillId="2" borderId="68" xfId="0" applyNumberFormat="1" applyFont="1" applyFill="1" applyBorder="1" applyAlignment="1">
      <alignment horizontal="center" vertical="center" wrapText="1"/>
    </xf>
    <xf numFmtId="0" fontId="4" fillId="2" borderId="70" xfId="0" applyFont="1" applyFill="1" applyBorder="1" applyAlignment="1">
      <alignment vertical="center" wrapText="1"/>
    </xf>
    <xf numFmtId="0" fontId="4" fillId="2" borderId="36" xfId="0" applyFont="1" applyFill="1" applyBorder="1" applyAlignment="1">
      <alignment horizontal="center" vertical="center"/>
    </xf>
    <xf numFmtId="49" fontId="4" fillId="2" borderId="36" xfId="0" applyNumberFormat="1" applyFont="1" applyFill="1" applyBorder="1" applyAlignment="1">
      <alignment horizontal="center" vertical="center" wrapText="1"/>
    </xf>
    <xf numFmtId="0" fontId="4" fillId="2" borderId="5" xfId="0" applyFont="1" applyFill="1" applyBorder="1" applyAlignment="1">
      <alignment horizontal="center" vertical="center"/>
    </xf>
    <xf numFmtId="49" fontId="4" fillId="2" borderId="5" xfId="0" applyNumberFormat="1" applyFont="1" applyFill="1" applyBorder="1" applyAlignment="1">
      <alignment horizontal="center" vertical="center"/>
    </xf>
    <xf numFmtId="0" fontId="4" fillId="4" borderId="17" xfId="0" applyFont="1" applyFill="1" applyBorder="1" applyAlignment="1">
      <alignment horizontal="center" vertical="center" wrapText="1"/>
    </xf>
    <xf numFmtId="0" fontId="4" fillId="4" borderId="19" xfId="0" applyFont="1" applyFill="1" applyBorder="1" applyAlignment="1">
      <alignment horizontal="center" vertical="center" wrapText="1"/>
    </xf>
    <xf numFmtId="0" fontId="4" fillId="4" borderId="21" xfId="0" applyFont="1" applyFill="1" applyBorder="1" applyAlignment="1">
      <alignment horizontal="center" vertical="center" wrapText="1"/>
    </xf>
    <xf numFmtId="0" fontId="4" fillId="4" borderId="23"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27" xfId="0" applyFont="1" applyFill="1" applyBorder="1" applyAlignment="1">
      <alignment horizontal="center" vertical="center" wrapText="1"/>
    </xf>
    <xf numFmtId="0" fontId="16" fillId="0" borderId="12" xfId="0" applyFont="1" applyBorder="1" applyAlignment="1">
      <alignment horizontal="center" vertical="center" wrapText="1"/>
    </xf>
    <xf numFmtId="0" fontId="4" fillId="5" borderId="29"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29" xfId="0" quotePrefix="1" applyFont="1" applyFill="1" applyBorder="1" applyAlignment="1">
      <alignment horizontal="left" vertical="center" wrapText="1"/>
    </xf>
    <xf numFmtId="49" fontId="4" fillId="6" borderId="69" xfId="0" applyNumberFormat="1" applyFont="1" applyFill="1" applyBorder="1" applyAlignment="1">
      <alignment horizontal="center" vertical="center"/>
    </xf>
    <xf numFmtId="0" fontId="4" fillId="6" borderId="41" xfId="0" applyNumberFormat="1" applyFont="1" applyFill="1" applyBorder="1" applyAlignment="1">
      <alignment horizontal="center" vertical="center"/>
    </xf>
    <xf numFmtId="0" fontId="4" fillId="6" borderId="2" xfId="0" applyFont="1" applyFill="1" applyBorder="1" applyAlignment="1">
      <alignment horizontal="center" vertical="center" wrapText="1"/>
    </xf>
    <xf numFmtId="49" fontId="4" fillId="6" borderId="9" xfId="0" applyNumberFormat="1" applyFont="1" applyFill="1" applyBorder="1" applyAlignment="1">
      <alignment vertical="center" wrapText="1"/>
    </xf>
    <xf numFmtId="0" fontId="4" fillId="6" borderId="73" xfId="0" applyNumberFormat="1" applyFont="1" applyFill="1" applyBorder="1" applyAlignment="1">
      <alignment horizontal="center" vertical="center"/>
    </xf>
    <xf numFmtId="0" fontId="4" fillId="6" borderId="75" xfId="0" applyFont="1" applyFill="1" applyBorder="1" applyAlignment="1">
      <alignment horizontal="center" vertical="center" wrapText="1"/>
    </xf>
    <xf numFmtId="0" fontId="4" fillId="6" borderId="76" xfId="0" applyNumberFormat="1" applyFont="1" applyFill="1" applyBorder="1" applyAlignment="1">
      <alignment horizontal="center" vertical="center"/>
    </xf>
    <xf numFmtId="49" fontId="4" fillId="6" borderId="78" xfId="0" applyNumberFormat="1" applyFont="1" applyFill="1" applyBorder="1" applyAlignment="1">
      <alignment horizontal="center" vertical="center" wrapText="1"/>
    </xf>
    <xf numFmtId="49" fontId="4" fillId="6" borderId="76" xfId="0" applyNumberFormat="1" applyFont="1" applyFill="1" applyBorder="1" applyAlignment="1">
      <alignment horizontal="left" vertical="center" wrapText="1"/>
    </xf>
    <xf numFmtId="0" fontId="4" fillId="0" borderId="79" xfId="0" applyNumberFormat="1" applyFont="1" applyFill="1" applyBorder="1" applyAlignment="1">
      <alignment horizontal="center" vertical="center"/>
    </xf>
    <xf numFmtId="0" fontId="17" fillId="8" borderId="81" xfId="0" applyFont="1" applyFill="1" applyBorder="1" applyAlignment="1">
      <alignment wrapText="1"/>
    </xf>
    <xf numFmtId="0" fontId="4" fillId="8" borderId="82" xfId="0" applyFont="1" applyFill="1" applyBorder="1" applyAlignment="1">
      <alignment horizontal="center" vertical="center" wrapText="1"/>
    </xf>
    <xf numFmtId="0" fontId="17" fillId="8" borderId="83" xfId="0" applyFont="1" applyFill="1" applyBorder="1" applyAlignment="1">
      <alignment wrapText="1"/>
    </xf>
    <xf numFmtId="0" fontId="4" fillId="0" borderId="84" xfId="0" applyNumberFormat="1" applyFont="1" applyFill="1" applyBorder="1" applyAlignment="1">
      <alignment horizontal="center" vertical="center"/>
    </xf>
    <xf numFmtId="0" fontId="17" fillId="8" borderId="74" xfId="0" applyFont="1" applyFill="1" applyBorder="1" applyAlignment="1">
      <alignment wrapText="1"/>
    </xf>
    <xf numFmtId="0" fontId="4" fillId="8" borderId="75" xfId="0" applyFont="1" applyFill="1" applyBorder="1" applyAlignment="1">
      <alignment horizontal="center" vertical="center" wrapText="1"/>
    </xf>
    <xf numFmtId="0" fontId="17" fillId="8" borderId="73" xfId="0" applyFont="1" applyFill="1" applyBorder="1" applyAlignment="1">
      <alignment wrapText="1"/>
    </xf>
    <xf numFmtId="0" fontId="17" fillId="8" borderId="85" xfId="0" applyFont="1" applyFill="1" applyBorder="1" applyAlignment="1">
      <alignment wrapText="1"/>
    </xf>
    <xf numFmtId="0" fontId="4" fillId="8" borderId="78" xfId="0" applyFont="1" applyFill="1" applyBorder="1" applyAlignment="1">
      <alignment horizontal="center" vertical="center" wrapText="1"/>
    </xf>
    <xf numFmtId="0" fontId="17" fillId="8" borderId="76" xfId="0" applyFont="1" applyFill="1" applyBorder="1" applyAlignment="1">
      <alignment wrapText="1"/>
    </xf>
    <xf numFmtId="0" fontId="5" fillId="0" borderId="0" xfId="0" applyFont="1" applyBorder="1" applyAlignment="1">
      <alignment horizontal="center" vertical="center" textRotation="90" wrapText="1"/>
    </xf>
    <xf numFmtId="0" fontId="4" fillId="0" borderId="0" xfId="0" applyNumberFormat="1" applyFont="1" applyFill="1" applyBorder="1" applyAlignment="1">
      <alignment horizontal="center" vertical="center"/>
    </xf>
    <xf numFmtId="49" fontId="4" fillId="2" borderId="68" xfId="0" applyNumberFormat="1" applyFont="1" applyFill="1" applyBorder="1" applyAlignment="1">
      <alignment horizontal="center" vertical="center"/>
    </xf>
    <xf numFmtId="0" fontId="4" fillId="5" borderId="29" xfId="0" applyFont="1" applyFill="1" applyBorder="1" applyAlignment="1">
      <alignment horizontal="left" vertical="center" wrapText="1"/>
    </xf>
    <xf numFmtId="0" fontId="20" fillId="0" borderId="0" xfId="0" applyFont="1"/>
    <xf numFmtId="49" fontId="4" fillId="6" borderId="41" xfId="0" applyNumberFormat="1" applyFont="1" applyFill="1" applyBorder="1" applyAlignment="1">
      <alignment vertical="center" wrapText="1"/>
    </xf>
    <xf numFmtId="0" fontId="0" fillId="0" borderId="0" xfId="0"/>
    <xf numFmtId="49" fontId="9" fillId="0" borderId="0" xfId="0" applyNumberFormat="1" applyFont="1" applyFill="1" applyBorder="1" applyAlignment="1">
      <alignment horizontal="left" vertical="center"/>
    </xf>
    <xf numFmtId="0" fontId="11" fillId="0" borderId="0" xfId="0" applyFont="1"/>
    <xf numFmtId="49" fontId="4" fillId="2" borderId="1" xfId="0" applyNumberFormat="1" applyFont="1" applyFill="1" applyBorder="1" applyAlignment="1">
      <alignment horizontal="center" vertical="center"/>
    </xf>
    <xf numFmtId="49" fontId="4" fillId="2" borderId="69" xfId="0" applyNumberFormat="1" applyFont="1" applyFill="1" applyBorder="1" applyAlignment="1">
      <alignment horizontal="center" vertical="center"/>
    </xf>
    <xf numFmtId="0" fontId="4" fillId="0" borderId="0" xfId="0" applyFont="1"/>
    <xf numFmtId="0" fontId="0" fillId="0" borderId="0" xfId="0" applyAlignment="1">
      <alignment wrapText="1"/>
    </xf>
    <xf numFmtId="0" fontId="4" fillId="0" borderId="0" xfId="0" applyFont="1" applyAlignment="1">
      <alignment horizontal="left"/>
    </xf>
    <xf numFmtId="0" fontId="4" fillId="4" borderId="25" xfId="0" applyFont="1" applyFill="1" applyBorder="1" applyAlignment="1">
      <alignment horizontal="left" vertical="center" wrapText="1"/>
    </xf>
    <xf numFmtId="49" fontId="4" fillId="2" borderId="35" xfId="0" applyNumberFormat="1" applyFont="1" applyFill="1" applyBorder="1" applyAlignment="1">
      <alignment horizontal="center" vertical="center"/>
    </xf>
    <xf numFmtId="0" fontId="4" fillId="2" borderId="38" xfId="0" applyFont="1" applyFill="1" applyBorder="1" applyAlignment="1">
      <alignment horizontal="left" vertical="center" wrapText="1"/>
    </xf>
    <xf numFmtId="0" fontId="0" fillId="0" borderId="0" xfId="0" applyFill="1"/>
    <xf numFmtId="0" fontId="12" fillId="0" borderId="0" xfId="0" applyFont="1" applyAlignment="1"/>
    <xf numFmtId="0" fontId="13" fillId="0" borderId="0" xfId="0" applyFont="1" applyAlignment="1"/>
    <xf numFmtId="49" fontId="4" fillId="2" borderId="14" xfId="0" applyNumberFormat="1" applyFont="1" applyFill="1" applyBorder="1" applyAlignment="1">
      <alignment horizontal="center" vertical="center"/>
    </xf>
    <xf numFmtId="49" fontId="4" fillId="4" borderId="16" xfId="0" applyNumberFormat="1" applyFont="1" applyFill="1" applyBorder="1" applyAlignment="1">
      <alignment horizontal="center" vertical="center" wrapText="1"/>
    </xf>
    <xf numFmtId="49" fontId="4" fillId="4" borderId="20" xfId="0" applyNumberFormat="1" applyFont="1" applyFill="1" applyBorder="1" applyAlignment="1">
      <alignment horizontal="center" vertical="center" wrapText="1"/>
    </xf>
    <xf numFmtId="49" fontId="4" fillId="4" borderId="24" xfId="0" applyNumberFormat="1" applyFont="1" applyFill="1" applyBorder="1" applyAlignment="1">
      <alignment horizontal="center" vertical="center" wrapText="1"/>
    </xf>
    <xf numFmtId="49" fontId="4" fillId="5" borderId="28" xfId="0" applyNumberFormat="1" applyFont="1" applyFill="1" applyBorder="1" applyAlignment="1">
      <alignment horizontal="center" vertical="center" wrapText="1"/>
    </xf>
    <xf numFmtId="0" fontId="4" fillId="2" borderId="38" xfId="0" quotePrefix="1" applyFont="1" applyFill="1" applyBorder="1" applyAlignment="1">
      <alignment horizontal="left" vertical="center" wrapText="1"/>
    </xf>
    <xf numFmtId="0" fontId="4" fillId="4" borderId="62" xfId="0" applyFont="1" applyFill="1" applyBorder="1" applyAlignment="1">
      <alignment horizontal="left" vertical="center" wrapText="1"/>
    </xf>
    <xf numFmtId="0" fontId="4" fillId="4" borderId="60" xfId="0" applyFont="1" applyFill="1" applyBorder="1" applyAlignment="1">
      <alignment wrapText="1"/>
    </xf>
    <xf numFmtId="0" fontId="0" fillId="10" borderId="0" xfId="0" applyFill="1"/>
    <xf numFmtId="0" fontId="4" fillId="10" borderId="0" xfId="0" applyFont="1" applyFill="1"/>
    <xf numFmtId="0" fontId="4" fillId="9" borderId="0" xfId="0" applyFont="1" applyFill="1" applyBorder="1"/>
    <xf numFmtId="0" fontId="4" fillId="0" borderId="0" xfId="0" applyFont="1" applyFill="1"/>
    <xf numFmtId="0" fontId="0" fillId="8" borderId="0" xfId="0" applyFill="1"/>
    <xf numFmtId="0" fontId="0" fillId="8" borderId="89" xfId="0" applyFill="1" applyBorder="1"/>
    <xf numFmtId="0" fontId="4" fillId="8" borderId="89" xfId="0" applyFont="1" applyFill="1" applyBorder="1"/>
    <xf numFmtId="0" fontId="0" fillId="8" borderId="89" xfId="0" applyFill="1" applyBorder="1" applyAlignment="1">
      <alignment horizontal="left"/>
    </xf>
    <xf numFmtId="0" fontId="9" fillId="0" borderId="0" xfId="0" applyFont="1" applyFill="1"/>
    <xf numFmtId="0" fontId="4" fillId="8" borderId="0" xfId="0" applyFont="1" applyFill="1" applyBorder="1"/>
    <xf numFmtId="0" fontId="4" fillId="8" borderId="0" xfId="0" applyFont="1" applyFill="1" applyAlignment="1">
      <alignment horizontal="left"/>
    </xf>
    <xf numFmtId="0" fontId="4" fillId="8" borderId="0" xfId="0" applyFont="1" applyFill="1"/>
    <xf numFmtId="14" fontId="0" fillId="8" borderId="89" xfId="0" applyNumberFormat="1" applyFill="1" applyBorder="1" applyAlignment="1">
      <alignment horizontal="left"/>
    </xf>
    <xf numFmtId="0" fontId="0" fillId="0" borderId="0" xfId="0" applyAlignment="1">
      <alignment horizontal="left"/>
    </xf>
    <xf numFmtId="0" fontId="0" fillId="10" borderId="0" xfId="0" applyFill="1" applyAlignment="1">
      <alignment horizontal="left"/>
    </xf>
    <xf numFmtId="0" fontId="0" fillId="0" borderId="0" xfId="0" applyFill="1" applyAlignment="1">
      <alignment horizontal="left"/>
    </xf>
    <xf numFmtId="0" fontId="5" fillId="8" borderId="89" xfId="0" applyFont="1" applyFill="1" applyBorder="1"/>
    <xf numFmtId="0" fontId="6" fillId="0" borderId="0" xfId="0" applyNumberFormat="1" applyFont="1" applyFill="1" applyBorder="1" applyAlignment="1">
      <alignment horizontal="center" vertical="center" wrapText="1"/>
    </xf>
    <xf numFmtId="0" fontId="6" fillId="0" borderId="0" xfId="0" applyFont="1" applyFill="1" applyBorder="1" applyAlignment="1">
      <alignment horizontal="center" vertical="center" wrapText="1"/>
    </xf>
    <xf numFmtId="0" fontId="8" fillId="0" borderId="0" xfId="0" applyFont="1" applyFill="1" applyBorder="1" applyAlignment="1">
      <alignment horizontal="right" vertical="center" wrapText="1"/>
    </xf>
    <xf numFmtId="49" fontId="8" fillId="0" borderId="0" xfId="0" applyNumberFormat="1" applyFont="1" applyFill="1" applyBorder="1" applyAlignment="1">
      <alignment horizontal="right" vertical="center" wrapText="1"/>
    </xf>
    <xf numFmtId="49" fontId="6" fillId="0" borderId="0" xfId="0" applyNumberFormat="1" applyFont="1" applyFill="1" applyBorder="1" applyAlignment="1">
      <alignment horizontal="center" vertical="center" wrapText="1"/>
    </xf>
    <xf numFmtId="0" fontId="6" fillId="0" borderId="0" xfId="0" applyFont="1" applyFill="1" applyBorder="1" applyAlignment="1">
      <alignment horizontal="left" vertical="center" wrapText="1"/>
    </xf>
    <xf numFmtId="0" fontId="0" fillId="9" borderId="91" xfId="0" applyFill="1" applyBorder="1"/>
    <xf numFmtId="0" fontId="0" fillId="9" borderId="92" xfId="0" applyFill="1" applyBorder="1"/>
    <xf numFmtId="0" fontId="0" fillId="9" borderId="93" xfId="0" applyFill="1" applyBorder="1"/>
    <xf numFmtId="0" fontId="0" fillId="9" borderId="94" xfId="0" applyFill="1" applyBorder="1"/>
    <xf numFmtId="0" fontId="0" fillId="9" borderId="0" xfId="0" applyFill="1" applyBorder="1"/>
    <xf numFmtId="0" fontId="0" fillId="9" borderId="95" xfId="0" applyFill="1" applyBorder="1"/>
    <xf numFmtId="0" fontId="5" fillId="9" borderId="0" xfId="0" applyFont="1" applyFill="1" applyBorder="1"/>
    <xf numFmtId="0" fontId="4" fillId="9" borderId="0" xfId="0" applyFont="1" applyFill="1" applyBorder="1" applyAlignment="1">
      <alignment horizontal="left"/>
    </xf>
    <xf numFmtId="0" fontId="0" fillId="9" borderId="96" xfId="0" applyFill="1" applyBorder="1"/>
    <xf numFmtId="0" fontId="0" fillId="9" borderId="97" xfId="0" applyFill="1" applyBorder="1"/>
    <xf numFmtId="0" fontId="4" fillId="9" borderId="97" xfId="0" applyFont="1" applyFill="1" applyBorder="1"/>
    <xf numFmtId="0" fontId="4" fillId="9" borderId="97" xfId="0" applyFont="1" applyFill="1" applyBorder="1" applyAlignment="1">
      <alignment horizontal="left"/>
    </xf>
    <xf numFmtId="0" fontId="0" fillId="9" borderId="98" xfId="0" applyFill="1" applyBorder="1"/>
    <xf numFmtId="0" fontId="0" fillId="9" borderId="92" xfId="0" applyFill="1" applyBorder="1" applyAlignment="1">
      <alignment horizontal="left"/>
    </xf>
    <xf numFmtId="0" fontId="0" fillId="9" borderId="0" xfId="0" applyFill="1" applyBorder="1" applyAlignment="1">
      <alignment horizontal="left"/>
    </xf>
    <xf numFmtId="0" fontId="21" fillId="0" borderId="34" xfId="0" applyFont="1" applyFill="1" applyBorder="1" applyAlignment="1"/>
    <xf numFmtId="0" fontId="5" fillId="0" borderId="0" xfId="0" applyFont="1" applyFill="1"/>
    <xf numFmtId="0" fontId="10" fillId="0" borderId="0" xfId="0" applyFont="1" applyAlignment="1">
      <alignment vertical="top" wrapText="1"/>
    </xf>
    <xf numFmtId="0" fontId="10" fillId="0" borderId="0" xfId="0" applyFont="1" applyAlignment="1">
      <alignment wrapText="1"/>
    </xf>
    <xf numFmtId="0" fontId="0" fillId="0" borderId="0" xfId="0" applyAlignment="1">
      <alignment wrapText="1"/>
    </xf>
    <xf numFmtId="0" fontId="4" fillId="0" borderId="0" xfId="0" applyFont="1" applyAlignment="1">
      <alignment horizontal="left" vertical="top" wrapText="1"/>
    </xf>
    <xf numFmtId="0" fontId="10" fillId="0" borderId="0" xfId="0" applyFont="1" applyAlignment="1">
      <alignment vertical="top" wrapText="1"/>
    </xf>
    <xf numFmtId="0" fontId="11" fillId="0" borderId="0" xfId="0" applyFont="1"/>
    <xf numFmtId="0" fontId="9" fillId="0" borderId="0" xfId="0" applyFont="1"/>
    <xf numFmtId="0" fontId="10" fillId="0" borderId="0" xfId="0" applyFont="1" applyAlignment="1">
      <alignment horizontal="left" wrapText="1" indent="1"/>
    </xf>
    <xf numFmtId="0" fontId="0" fillId="8" borderId="0" xfId="0" applyFill="1" applyBorder="1"/>
    <xf numFmtId="0" fontId="12" fillId="0" borderId="0" xfId="0" applyFont="1" applyAlignment="1">
      <alignment vertical="center"/>
    </xf>
    <xf numFmtId="0" fontId="4" fillId="2" borderId="1" xfId="0" applyFont="1" applyFill="1" applyBorder="1" applyAlignment="1">
      <alignment horizontal="right" vertical="center"/>
    </xf>
    <xf numFmtId="49" fontId="4" fillId="0" borderId="0" xfId="0" applyNumberFormat="1" applyFont="1" applyAlignment="1">
      <alignment wrapText="1"/>
    </xf>
    <xf numFmtId="0" fontId="4" fillId="2" borderId="69" xfId="0" applyFont="1" applyFill="1" applyBorder="1" applyAlignment="1">
      <alignment horizontal="right" vertical="center"/>
    </xf>
    <xf numFmtId="0" fontId="4" fillId="2" borderId="35" xfId="0" applyFont="1" applyFill="1" applyBorder="1" applyAlignment="1">
      <alignment horizontal="right" vertical="center"/>
    </xf>
    <xf numFmtId="0" fontId="4" fillId="2" borderId="7" xfId="0" applyFont="1" applyFill="1" applyBorder="1" applyAlignment="1">
      <alignment horizontal="right" vertical="center"/>
    </xf>
    <xf numFmtId="49" fontId="4" fillId="2" borderId="15" xfId="0" applyNumberFormat="1" applyFont="1" applyFill="1" applyBorder="1" applyAlignment="1">
      <alignment vertical="center" wrapText="1"/>
    </xf>
    <xf numFmtId="0" fontId="4" fillId="4" borderId="18" xfId="0" applyFont="1" applyFill="1" applyBorder="1" applyAlignment="1">
      <alignment horizontal="right" vertical="center" wrapText="1"/>
    </xf>
    <xf numFmtId="0" fontId="4" fillId="4" borderId="17" xfId="0" applyFont="1" applyFill="1" applyBorder="1" applyAlignment="1">
      <alignment horizontal="left" vertical="center" wrapText="1"/>
    </xf>
    <xf numFmtId="0" fontId="4" fillId="4" borderId="22" xfId="0" applyFont="1" applyFill="1" applyBorder="1" applyAlignment="1">
      <alignment horizontal="right" vertical="center" wrapText="1"/>
    </xf>
    <xf numFmtId="0" fontId="4" fillId="4" borderId="21" xfId="0" applyFont="1" applyFill="1" applyBorder="1" applyAlignment="1">
      <alignment horizontal="left" vertical="center" wrapText="1"/>
    </xf>
    <xf numFmtId="0" fontId="4" fillId="4" borderId="26" xfId="0" applyFont="1" applyFill="1" applyBorder="1" applyAlignment="1">
      <alignment horizontal="right" vertical="center" wrapText="1"/>
    </xf>
    <xf numFmtId="0" fontId="4" fillId="5" borderId="30" xfId="0" applyFont="1" applyFill="1" applyBorder="1" applyAlignment="1">
      <alignment horizontal="right" vertical="center" wrapText="1"/>
    </xf>
    <xf numFmtId="0" fontId="4" fillId="6" borderId="39" xfId="0" applyFont="1" applyFill="1" applyBorder="1" applyAlignment="1">
      <alignment horizontal="right" vertical="center"/>
    </xf>
    <xf numFmtId="0" fontId="4" fillId="6" borderId="74" xfId="0" applyFont="1" applyFill="1" applyBorder="1" applyAlignment="1">
      <alignment horizontal="right" vertical="center"/>
    </xf>
    <xf numFmtId="0" fontId="4" fillId="6" borderId="77" xfId="0" applyFont="1" applyFill="1" applyBorder="1" applyAlignment="1">
      <alignment horizontal="right" vertical="center"/>
    </xf>
    <xf numFmtId="49" fontId="4" fillId="6" borderId="38" xfId="0" applyNumberFormat="1" applyFont="1" applyFill="1" applyBorder="1" applyAlignment="1">
      <alignment vertical="center" wrapText="1"/>
    </xf>
    <xf numFmtId="0" fontId="5" fillId="9" borderId="0" xfId="0" applyFont="1" applyFill="1" applyBorder="1" applyAlignment="1">
      <alignment horizontal="center"/>
    </xf>
    <xf numFmtId="0" fontId="15" fillId="9" borderId="0" xfId="0" applyFont="1" applyFill="1" applyBorder="1" applyAlignment="1">
      <alignment vertical="top"/>
    </xf>
    <xf numFmtId="0" fontId="4" fillId="9" borderId="0" xfId="0" applyFont="1" applyFill="1" applyBorder="1" applyAlignment="1">
      <alignment vertical="top"/>
    </xf>
    <xf numFmtId="0" fontId="4" fillId="2" borderId="1" xfId="0" applyNumberFormat="1" applyFont="1" applyFill="1" applyBorder="1" applyAlignment="1">
      <alignment horizontal="center" vertical="center"/>
    </xf>
    <xf numFmtId="49" fontId="4" fillId="2" borderId="6" xfId="0" applyNumberFormat="1" applyFont="1" applyFill="1" applyBorder="1" applyAlignment="1">
      <alignment horizontal="center" vertical="center" wrapText="1"/>
    </xf>
    <xf numFmtId="49" fontId="4" fillId="2" borderId="3" xfId="0" applyNumberFormat="1" applyFont="1" applyFill="1" applyBorder="1" applyAlignment="1">
      <alignment horizontal="center" vertical="center"/>
    </xf>
    <xf numFmtId="0" fontId="4" fillId="2" borderId="4" xfId="0" applyFont="1" applyFill="1" applyBorder="1" applyAlignment="1">
      <alignment horizontal="center" vertical="center"/>
    </xf>
    <xf numFmtId="0" fontId="4" fillId="2" borderId="3" xfId="0" applyFont="1" applyFill="1" applyBorder="1" applyAlignment="1">
      <alignment horizontal="right" vertical="center"/>
    </xf>
    <xf numFmtId="0" fontId="4" fillId="2" borderId="10" xfId="0" applyFont="1" applyFill="1" applyBorder="1" applyAlignment="1">
      <alignment vertical="center" wrapText="1"/>
    </xf>
    <xf numFmtId="49" fontId="4" fillId="2" borderId="6" xfId="0" applyNumberFormat="1" applyFont="1" applyFill="1" applyBorder="1" applyAlignment="1">
      <alignment horizontal="center" vertical="center"/>
    </xf>
    <xf numFmtId="0" fontId="4" fillId="2" borderId="14" xfId="0" applyFont="1" applyFill="1" applyBorder="1" applyAlignment="1">
      <alignment horizontal="center" vertical="center"/>
    </xf>
    <xf numFmtId="49" fontId="4" fillId="2" borderId="4" xfId="0" applyNumberFormat="1" applyFont="1" applyFill="1" applyBorder="1" applyAlignment="1">
      <alignment horizontal="center" vertical="center"/>
    </xf>
    <xf numFmtId="0" fontId="4" fillId="4" borderId="16" xfId="0" applyFont="1" applyFill="1" applyBorder="1" applyAlignment="1">
      <alignment horizontal="center" vertical="center" wrapText="1"/>
    </xf>
    <xf numFmtId="0" fontId="4" fillId="4" borderId="58" xfId="0" applyFont="1" applyFill="1" applyBorder="1" applyAlignment="1">
      <alignment wrapText="1"/>
    </xf>
    <xf numFmtId="0" fontId="4" fillId="4" borderId="20" xfId="0" applyFont="1" applyFill="1" applyBorder="1" applyAlignment="1">
      <alignment horizontal="center" vertical="center" wrapText="1"/>
    </xf>
    <xf numFmtId="0" fontId="4" fillId="4" borderId="59" xfId="0" applyFont="1" applyFill="1" applyBorder="1" applyAlignment="1">
      <alignment wrapText="1"/>
    </xf>
    <xf numFmtId="0" fontId="4" fillId="4" borderId="24" xfId="0" applyFont="1" applyFill="1" applyBorder="1" applyAlignment="1">
      <alignment horizontal="center" vertical="center" wrapText="1"/>
    </xf>
    <xf numFmtId="0" fontId="4" fillId="5" borderId="28" xfId="0" applyFont="1" applyFill="1" applyBorder="1" applyAlignment="1">
      <alignment horizontal="center" vertical="center" wrapText="1"/>
    </xf>
    <xf numFmtId="49" fontId="4" fillId="5" borderId="29" xfId="0" applyNumberFormat="1" applyFont="1" applyFill="1" applyBorder="1" applyAlignment="1">
      <alignment horizontal="left" vertical="center" wrapText="1"/>
    </xf>
    <xf numFmtId="49" fontId="4" fillId="6" borderId="3" xfId="0" applyNumberFormat="1" applyFont="1" applyFill="1" applyBorder="1" applyAlignment="1">
      <alignment horizontal="center" vertical="center"/>
    </xf>
    <xf numFmtId="49" fontId="4" fillId="6" borderId="2" xfId="0" applyNumberFormat="1" applyFont="1" applyFill="1" applyBorder="1" applyAlignment="1">
      <alignment horizontal="center" vertical="center" wrapText="1"/>
    </xf>
    <xf numFmtId="0" fontId="4" fillId="6" borderId="42" xfId="0" applyFont="1" applyFill="1" applyBorder="1" applyAlignment="1">
      <alignment horizontal="right" vertical="center"/>
    </xf>
    <xf numFmtId="49" fontId="4" fillId="6" borderId="43" xfId="0" applyNumberFormat="1" applyFont="1" applyFill="1" applyBorder="1" applyAlignment="1">
      <alignment horizontal="center" vertical="center" wrapText="1"/>
    </xf>
    <xf numFmtId="49" fontId="4" fillId="6" borderId="7" xfId="0" applyNumberFormat="1" applyFont="1" applyFill="1" applyBorder="1" applyAlignment="1">
      <alignment horizontal="center" vertical="center"/>
    </xf>
    <xf numFmtId="0" fontId="4" fillId="6" borderId="15" xfId="0" applyNumberFormat="1" applyFont="1" applyFill="1" applyBorder="1" applyAlignment="1">
      <alignment horizontal="center" vertical="center"/>
    </xf>
    <xf numFmtId="0" fontId="4" fillId="6" borderId="50" xfId="0" applyFont="1" applyFill="1" applyBorder="1" applyAlignment="1">
      <alignment horizontal="right" vertical="center"/>
    </xf>
    <xf numFmtId="49" fontId="4" fillId="6" borderId="45" xfId="0" applyNumberFormat="1" applyFont="1" applyFill="1" applyBorder="1" applyAlignment="1">
      <alignment horizontal="center" vertical="center" wrapText="1"/>
    </xf>
    <xf numFmtId="0" fontId="4" fillId="6" borderId="60" xfId="0" applyFont="1" applyFill="1" applyBorder="1" applyAlignment="1">
      <alignment wrapText="1"/>
    </xf>
    <xf numFmtId="0" fontId="4" fillId="6" borderId="4" xfId="0" applyFont="1" applyFill="1" applyBorder="1" applyAlignment="1">
      <alignment horizontal="center" vertical="center" wrapText="1"/>
    </xf>
    <xf numFmtId="49" fontId="4" fillId="6" borderId="10" xfId="0" applyNumberFormat="1" applyFont="1" applyFill="1" applyBorder="1" applyAlignment="1">
      <alignment vertical="center" wrapText="1"/>
    </xf>
    <xf numFmtId="0" fontId="4" fillId="6" borderId="36" xfId="0" applyFont="1" applyFill="1" applyBorder="1" applyAlignment="1">
      <alignment horizontal="center" vertical="center" wrapText="1"/>
    </xf>
    <xf numFmtId="0" fontId="4" fillId="6" borderId="5" xfId="0" applyFont="1" applyFill="1" applyBorder="1" applyAlignment="1">
      <alignment horizontal="center" vertical="center" wrapText="1"/>
    </xf>
    <xf numFmtId="49" fontId="4" fillId="6" borderId="15" xfId="0" applyNumberFormat="1" applyFont="1" applyFill="1" applyBorder="1" applyAlignment="1">
      <alignment vertical="center" wrapText="1"/>
    </xf>
    <xf numFmtId="0" fontId="4" fillId="4" borderId="19" xfId="0" applyFont="1" applyFill="1" applyBorder="1" applyAlignment="1">
      <alignment horizontal="center" wrapText="1"/>
    </xf>
    <xf numFmtId="0" fontId="4" fillId="4" borderId="64" xfId="0" applyFont="1" applyFill="1" applyBorder="1" applyAlignment="1">
      <alignment horizontal="center" wrapText="1"/>
    </xf>
    <xf numFmtId="0" fontId="4" fillId="4" borderId="57" xfId="0" applyFont="1" applyFill="1" applyBorder="1" applyAlignment="1">
      <alignment horizontal="center" wrapText="1"/>
    </xf>
    <xf numFmtId="0" fontId="4" fillId="5" borderId="57" xfId="0" applyFont="1" applyFill="1" applyBorder="1" applyAlignment="1">
      <alignment horizontal="center" wrapText="1"/>
    </xf>
    <xf numFmtId="0" fontId="4" fillId="6" borderId="43" xfId="0" applyFont="1" applyFill="1" applyBorder="1" applyAlignment="1">
      <alignment horizontal="center" wrapText="1"/>
    </xf>
    <xf numFmtId="1" fontId="4" fillId="6" borderId="10" xfId="0" applyNumberFormat="1" applyFont="1" applyFill="1" applyBorder="1" applyAlignment="1">
      <alignment horizontal="center" vertical="center"/>
    </xf>
    <xf numFmtId="0" fontId="4" fillId="6" borderId="43" xfId="0" applyFont="1" applyFill="1" applyBorder="1" applyAlignment="1">
      <alignment horizontal="center"/>
    </xf>
    <xf numFmtId="0" fontId="4" fillId="6" borderId="61" xfId="0" applyFont="1" applyFill="1" applyBorder="1"/>
    <xf numFmtId="0" fontId="4" fillId="6" borderId="33" xfId="0" applyFont="1" applyFill="1" applyBorder="1" applyAlignment="1">
      <alignment wrapText="1"/>
    </xf>
    <xf numFmtId="0" fontId="4" fillId="6" borderId="63" xfId="0" applyFont="1" applyFill="1" applyBorder="1" applyAlignment="1">
      <alignment wrapText="1"/>
    </xf>
    <xf numFmtId="0" fontId="4" fillId="5" borderId="65" xfId="0" applyNumberFormat="1" applyFont="1" applyFill="1" applyBorder="1" applyAlignment="1">
      <alignment horizontal="center" vertical="center"/>
    </xf>
    <xf numFmtId="0" fontId="4" fillId="5" borderId="61" xfId="0" applyNumberFormat="1" applyFont="1" applyFill="1" applyBorder="1" applyAlignment="1">
      <alignment horizontal="center" vertical="center"/>
    </xf>
    <xf numFmtId="0" fontId="4" fillId="5" borderId="42" xfId="0" applyFont="1" applyFill="1" applyBorder="1" applyAlignment="1">
      <alignment horizontal="right" vertical="center"/>
    </xf>
    <xf numFmtId="0" fontId="4" fillId="5" borderId="41" xfId="0" applyNumberFormat="1" applyFont="1" applyFill="1" applyBorder="1" applyAlignment="1">
      <alignment horizontal="center" vertical="center"/>
    </xf>
    <xf numFmtId="0" fontId="4" fillId="5" borderId="66" xfId="0" applyNumberFormat="1" applyFont="1" applyFill="1" applyBorder="1" applyAlignment="1">
      <alignment horizontal="center" vertical="center"/>
    </xf>
    <xf numFmtId="0" fontId="4" fillId="5" borderId="15" xfId="0" applyNumberFormat="1" applyFont="1" applyFill="1" applyBorder="1" applyAlignment="1">
      <alignment horizontal="center" vertical="center"/>
    </xf>
    <xf numFmtId="0" fontId="4" fillId="5" borderId="55" xfId="0" applyFont="1" applyFill="1" applyBorder="1" applyAlignment="1">
      <alignment horizontal="right" vertical="center"/>
    </xf>
    <xf numFmtId="0" fontId="4" fillId="5" borderId="5" xfId="0" applyFont="1" applyFill="1" applyBorder="1" applyAlignment="1">
      <alignment horizontal="center" vertical="center" wrapText="1"/>
    </xf>
    <xf numFmtId="49" fontId="4" fillId="5" borderId="15" xfId="0" applyNumberFormat="1" applyFont="1" applyFill="1" applyBorder="1" applyAlignment="1">
      <alignment vertical="center" wrapText="1"/>
    </xf>
    <xf numFmtId="0" fontId="4" fillId="0" borderId="41" xfId="0" applyNumberFormat="1" applyFont="1" applyFill="1" applyBorder="1" applyAlignment="1">
      <alignment horizontal="center" vertical="center"/>
    </xf>
    <xf numFmtId="49" fontId="4" fillId="0" borderId="46" xfId="0" applyNumberFormat="1" applyFont="1" applyFill="1" applyBorder="1" applyAlignment="1">
      <alignment horizontal="center" vertical="center"/>
    </xf>
    <xf numFmtId="0" fontId="4" fillId="0" borderId="47" xfId="0" applyFont="1" applyFill="1" applyBorder="1" applyAlignment="1">
      <alignment horizontal="left" vertical="center"/>
    </xf>
    <xf numFmtId="0" fontId="4" fillId="0" borderId="48" xfId="0" applyFont="1" applyFill="1" applyBorder="1" applyAlignment="1">
      <alignment horizontal="center" vertical="center"/>
    </xf>
    <xf numFmtId="49" fontId="4" fillId="0" borderId="49" xfId="0" applyNumberFormat="1" applyFont="1" applyFill="1" applyBorder="1" applyAlignment="1">
      <alignment horizontal="center" vertical="center"/>
    </xf>
    <xf numFmtId="0" fontId="4" fillId="0" borderId="49" xfId="0" applyFont="1" applyFill="1" applyBorder="1" applyAlignment="1">
      <alignment horizontal="center" vertical="center" wrapText="1"/>
    </xf>
    <xf numFmtId="0" fontId="4" fillId="2" borderId="1" xfId="0" applyNumberFormat="1" applyFont="1" applyFill="1" applyBorder="1" applyAlignment="1" applyProtection="1">
      <alignment horizontal="center" vertical="center"/>
    </xf>
    <xf numFmtId="0" fontId="4" fillId="6" borderId="53" xfId="0" applyFont="1" applyFill="1" applyBorder="1" applyAlignment="1">
      <alignment horizontal="center" vertical="center"/>
    </xf>
    <xf numFmtId="1" fontId="4" fillId="6" borderId="9" xfId="0" applyNumberFormat="1" applyFont="1" applyFill="1" applyBorder="1" applyAlignment="1">
      <alignment horizontal="center" vertical="center"/>
    </xf>
    <xf numFmtId="0" fontId="4" fillId="6" borderId="54" xfId="0" applyFont="1" applyFill="1" applyBorder="1" applyAlignment="1">
      <alignment horizontal="center" vertical="center"/>
    </xf>
    <xf numFmtId="0" fontId="4" fillId="6" borderId="56" xfId="0" applyFont="1" applyFill="1" applyBorder="1" applyAlignment="1">
      <alignment horizontal="center" vertical="center"/>
    </xf>
    <xf numFmtId="0" fontId="4" fillId="6" borderId="44" xfId="0" applyNumberFormat="1" applyFont="1" applyFill="1" applyBorder="1" applyAlignment="1">
      <alignment horizontal="center" vertical="center"/>
    </xf>
    <xf numFmtId="0" fontId="4" fillId="6" borderId="55" xfId="0" applyFont="1" applyFill="1" applyBorder="1" applyAlignment="1">
      <alignment horizontal="right" vertical="center"/>
    </xf>
    <xf numFmtId="49" fontId="4" fillId="2" borderId="109" xfId="0" applyNumberFormat="1" applyFont="1" applyFill="1" applyBorder="1" applyAlignment="1">
      <alignment horizontal="center" vertical="center" wrapText="1"/>
    </xf>
    <xf numFmtId="0" fontId="4" fillId="2" borderId="69" xfId="0" applyNumberFormat="1" applyFont="1" applyFill="1" applyBorder="1" applyAlignment="1">
      <alignment horizontal="center" vertical="center"/>
    </xf>
    <xf numFmtId="49" fontId="4" fillId="2" borderId="67" xfId="0" applyNumberFormat="1" applyFont="1" applyFill="1" applyBorder="1" applyAlignment="1">
      <alignment horizontal="center" vertical="center" wrapText="1"/>
    </xf>
    <xf numFmtId="49" fontId="4" fillId="2" borderId="67" xfId="0" applyNumberFormat="1" applyFont="1" applyFill="1" applyBorder="1" applyAlignment="1">
      <alignment horizontal="center" vertical="center"/>
    </xf>
    <xf numFmtId="0" fontId="4" fillId="2" borderId="14" xfId="0" applyNumberFormat="1" applyFont="1" applyFill="1" applyBorder="1" applyAlignment="1">
      <alignment horizontal="center" vertical="center"/>
    </xf>
    <xf numFmtId="0" fontId="4" fillId="4" borderId="16" xfId="0" applyNumberFormat="1" applyFont="1" applyFill="1" applyBorder="1" applyAlignment="1">
      <alignment horizontal="center" vertical="center" wrapText="1"/>
    </xf>
    <xf numFmtId="0" fontId="4" fillId="4" borderId="20" xfId="0" applyNumberFormat="1" applyFont="1" applyFill="1" applyBorder="1" applyAlignment="1">
      <alignment horizontal="center" vertical="center" wrapText="1"/>
    </xf>
    <xf numFmtId="0" fontId="4" fillId="4" borderId="24" xfId="0" applyNumberFormat="1" applyFont="1" applyFill="1" applyBorder="1" applyAlignment="1">
      <alignment horizontal="center" vertical="center" wrapText="1"/>
    </xf>
    <xf numFmtId="0" fontId="4" fillId="5" borderId="28" xfId="0" applyNumberFormat="1" applyFont="1" applyFill="1" applyBorder="1" applyAlignment="1">
      <alignment horizontal="center" vertical="center" wrapText="1"/>
    </xf>
    <xf numFmtId="49" fontId="4" fillId="5" borderId="31" xfId="0" applyNumberFormat="1" applyFont="1" applyFill="1" applyBorder="1" applyAlignment="1">
      <alignment horizontal="center" vertical="center" wrapText="1"/>
    </xf>
    <xf numFmtId="0" fontId="4" fillId="0" borderId="99" xfId="0" applyNumberFormat="1" applyFont="1" applyFill="1" applyBorder="1" applyAlignment="1">
      <alignment horizontal="center" vertical="center" wrapText="1"/>
    </xf>
    <xf numFmtId="0" fontId="4" fillId="0" borderId="100" xfId="0" applyFont="1" applyFill="1" applyBorder="1" applyAlignment="1">
      <alignment horizontal="center" vertical="center" wrapText="1"/>
    </xf>
    <xf numFmtId="0" fontId="4" fillId="0" borderId="101" xfId="0" applyFont="1" applyFill="1" applyBorder="1" applyAlignment="1">
      <alignment horizontal="right" vertical="center" wrapText="1"/>
    </xf>
    <xf numFmtId="49" fontId="4" fillId="0" borderId="102" xfId="0" applyNumberFormat="1" applyFont="1" applyFill="1" applyBorder="1" applyAlignment="1">
      <alignment horizontal="center" vertical="center" wrapText="1"/>
    </xf>
    <xf numFmtId="0" fontId="4" fillId="0" borderId="103" xfId="0" applyFont="1" applyFill="1" applyBorder="1" applyAlignment="1">
      <alignment horizontal="left" vertical="center" wrapText="1"/>
    </xf>
    <xf numFmtId="0" fontId="4" fillId="0" borderId="104" xfId="0" applyNumberFormat="1" applyFont="1" applyFill="1" applyBorder="1" applyAlignment="1">
      <alignment horizontal="center" vertical="center" wrapText="1"/>
    </xf>
    <xf numFmtId="0" fontId="4" fillId="0" borderId="105" xfId="0" applyFont="1" applyFill="1" applyBorder="1" applyAlignment="1">
      <alignment horizontal="center" vertical="center" wrapText="1"/>
    </xf>
    <xf numFmtId="0" fontId="4" fillId="0" borderId="106" xfId="0" applyFont="1" applyFill="1" applyBorder="1" applyAlignment="1">
      <alignment horizontal="right" vertical="center" wrapText="1"/>
    </xf>
    <xf numFmtId="49" fontId="4" fillId="0" borderId="107" xfId="0" applyNumberFormat="1" applyFont="1" applyFill="1" applyBorder="1" applyAlignment="1">
      <alignment horizontal="center" vertical="center" wrapText="1"/>
    </xf>
    <xf numFmtId="0" fontId="4" fillId="0" borderId="108" xfId="0" applyFont="1" applyFill="1" applyBorder="1" applyAlignment="1">
      <alignment horizontal="left" vertical="center" wrapText="1"/>
    </xf>
    <xf numFmtId="1" fontId="4" fillId="0" borderId="80" xfId="0" applyNumberFormat="1" applyFont="1" applyFill="1" applyBorder="1" applyAlignment="1">
      <alignment horizontal="center" vertical="center"/>
    </xf>
    <xf numFmtId="1" fontId="4" fillId="0" borderId="70" xfId="0" applyNumberFormat="1" applyFont="1" applyFill="1" applyBorder="1" applyAlignment="1">
      <alignment horizontal="center" vertical="center"/>
    </xf>
    <xf numFmtId="0" fontId="4" fillId="4" borderId="110" xfId="0" applyFont="1" applyFill="1" applyBorder="1" applyAlignment="1">
      <alignment horizontal="center" vertical="center" wrapText="1"/>
    </xf>
    <xf numFmtId="0" fontId="4" fillId="4" borderId="62" xfId="0" applyFont="1" applyFill="1" applyBorder="1" applyAlignment="1">
      <alignment horizontal="center" vertical="center" wrapText="1"/>
    </xf>
    <xf numFmtId="0" fontId="4" fillId="6" borderId="61" xfId="0" applyFont="1" applyFill="1" applyBorder="1" applyAlignment="1">
      <alignment vertical="top" wrapText="1"/>
    </xf>
    <xf numFmtId="49" fontId="4" fillId="0" borderId="0" xfId="0" applyNumberFormat="1" applyFont="1" applyFill="1" applyBorder="1" applyAlignment="1">
      <alignment horizontal="center" vertical="center"/>
    </xf>
    <xf numFmtId="0" fontId="4" fillId="0" borderId="0" xfId="0" applyFont="1" applyFill="1" applyBorder="1" applyAlignment="1">
      <alignment horizontal="left" vertical="center"/>
    </xf>
    <xf numFmtId="0" fontId="4"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8" borderId="89" xfId="0" applyFont="1" applyFill="1" applyBorder="1" applyAlignment="1"/>
    <xf numFmtId="0" fontId="4" fillId="8" borderId="89" xfId="0" applyFont="1" applyFill="1" applyBorder="1" applyAlignment="1">
      <alignment horizontal="left"/>
    </xf>
    <xf numFmtId="0" fontId="5" fillId="9" borderId="0" xfId="0" applyFont="1" applyFill="1" applyBorder="1" applyAlignment="1">
      <alignment horizontal="right"/>
    </xf>
    <xf numFmtId="0" fontId="24" fillId="11" borderId="89" xfId="0" applyFont="1" applyFill="1" applyBorder="1" applyAlignment="1">
      <alignment horizontal="center"/>
    </xf>
    <xf numFmtId="49" fontId="24" fillId="11" borderId="89" xfId="0" applyNumberFormat="1" applyFont="1" applyFill="1" applyBorder="1" applyAlignment="1">
      <alignment horizontal="center"/>
    </xf>
    <xf numFmtId="0" fontId="25" fillId="11" borderId="89" xfId="0" applyFont="1" applyFill="1" applyBorder="1" applyAlignment="1">
      <alignment horizontal="center"/>
    </xf>
    <xf numFmtId="0" fontId="24" fillId="11" borderId="89" xfId="0" applyFont="1" applyFill="1" applyBorder="1" applyAlignment="1"/>
    <xf numFmtId="0" fontId="0" fillId="0" borderId="0" xfId="0" applyAlignment="1">
      <alignment vertical="top"/>
    </xf>
    <xf numFmtId="0" fontId="4" fillId="9" borderId="0" xfId="0" applyFont="1" applyFill="1" applyBorder="1" applyAlignment="1"/>
    <xf numFmtId="0" fontId="27" fillId="11" borderId="89" xfId="0" applyFont="1" applyFill="1" applyBorder="1" applyAlignment="1">
      <alignment wrapText="1"/>
    </xf>
    <xf numFmtId="0" fontId="28" fillId="11" borderId="89" xfId="0" applyFont="1" applyFill="1" applyBorder="1" applyAlignment="1">
      <alignment wrapText="1"/>
    </xf>
    <xf numFmtId="0" fontId="23" fillId="0" borderId="0" xfId="0" applyFont="1" applyAlignment="1">
      <alignment vertical="top"/>
    </xf>
    <xf numFmtId="0" fontId="0" fillId="7" borderId="91" xfId="0" applyFill="1" applyBorder="1"/>
    <xf numFmtId="0" fontId="5" fillId="7" borderId="92" xfId="0" applyFont="1" applyFill="1" applyBorder="1"/>
    <xf numFmtId="0" fontId="0" fillId="7" borderId="92" xfId="0" applyFill="1" applyBorder="1"/>
    <xf numFmtId="0" fontId="0" fillId="7" borderId="93" xfId="0" applyFill="1" applyBorder="1"/>
    <xf numFmtId="0" fontId="0" fillId="7" borderId="94" xfId="0" applyFill="1" applyBorder="1"/>
    <xf numFmtId="0" fontId="0" fillId="7" borderId="95" xfId="0" applyFill="1" applyBorder="1"/>
    <xf numFmtId="0" fontId="0" fillId="7" borderId="0" xfId="0" applyFill="1" applyBorder="1"/>
    <xf numFmtId="0" fontId="0" fillId="7" borderId="98" xfId="0" applyFill="1" applyBorder="1"/>
    <xf numFmtId="0" fontId="0" fillId="7" borderId="96" xfId="0" applyFill="1" applyBorder="1"/>
    <xf numFmtId="0" fontId="0" fillId="7" borderId="97" xfId="0" applyFill="1" applyBorder="1"/>
    <xf numFmtId="0" fontId="7" fillId="7" borderId="0" xfId="0" applyFont="1" applyFill="1" applyBorder="1"/>
    <xf numFmtId="0" fontId="29" fillId="0" borderId="0" xfId="0" applyFont="1" applyAlignment="1">
      <alignment horizontal="left" vertical="center" wrapText="1"/>
    </xf>
    <xf numFmtId="0" fontId="7" fillId="12" borderId="89" xfId="0" applyFont="1" applyFill="1" applyBorder="1" applyAlignment="1">
      <alignment vertical="center"/>
    </xf>
    <xf numFmtId="0" fontId="7" fillId="12" borderId="89" xfId="0" applyFont="1" applyFill="1" applyBorder="1" applyAlignment="1">
      <alignment vertical="center" wrapText="1"/>
    </xf>
    <xf numFmtId="49" fontId="7" fillId="12" borderId="89" xfId="0" applyNumberFormat="1" applyFont="1" applyFill="1" applyBorder="1" applyAlignment="1">
      <alignment horizontal="center" vertical="center"/>
    </xf>
    <xf numFmtId="0" fontId="7" fillId="12" borderId="89" xfId="0" applyFont="1" applyFill="1" applyBorder="1" applyAlignment="1">
      <alignment horizontal="center" vertical="center"/>
    </xf>
    <xf numFmtId="49" fontId="4" fillId="0" borderId="3" xfId="0" applyNumberFormat="1" applyFont="1" applyFill="1" applyBorder="1" applyAlignment="1">
      <alignment horizontal="center" vertical="center"/>
    </xf>
    <xf numFmtId="49" fontId="4" fillId="0" borderId="4" xfId="0" applyNumberFormat="1" applyFont="1" applyFill="1" applyBorder="1" applyAlignment="1">
      <alignment horizontal="right" vertical="center"/>
    </xf>
    <xf numFmtId="0" fontId="4" fillId="0" borderId="43" xfId="0" applyFont="1" applyFill="1" applyBorder="1" applyAlignment="1">
      <alignment horizontal="center" wrapText="1"/>
    </xf>
    <xf numFmtId="0" fontId="4" fillId="0" borderId="63" xfId="0" applyFont="1" applyFill="1" applyBorder="1" applyAlignment="1">
      <alignment wrapText="1"/>
    </xf>
    <xf numFmtId="0" fontId="4" fillId="0" borderId="61" xfId="0" applyNumberFormat="1" applyFont="1" applyFill="1" applyBorder="1" applyAlignment="1">
      <alignment horizontal="center" vertical="center"/>
    </xf>
    <xf numFmtId="0" fontId="5" fillId="7" borderId="0" xfId="0" applyFont="1" applyFill="1" applyBorder="1" applyAlignment="1"/>
    <xf numFmtId="0" fontId="9" fillId="9" borderId="91" xfId="0" applyFont="1" applyFill="1" applyBorder="1"/>
    <xf numFmtId="0" fontId="9" fillId="9" borderId="94" xfId="0" applyFont="1" applyFill="1" applyBorder="1"/>
    <xf numFmtId="49" fontId="4" fillId="0" borderId="69" xfId="0" applyNumberFormat="1" applyFont="1" applyFill="1" applyBorder="1" applyAlignment="1">
      <alignment horizontal="center" vertical="center"/>
    </xf>
    <xf numFmtId="49" fontId="4" fillId="0" borderId="68" xfId="0" applyNumberFormat="1" applyFont="1" applyFill="1" applyBorder="1" applyAlignment="1">
      <alignment horizontal="right" vertical="center"/>
    </xf>
    <xf numFmtId="0" fontId="5" fillId="0" borderId="90" xfId="0" applyFont="1" applyFill="1" applyBorder="1" applyAlignment="1">
      <alignment horizontal="left" vertical="center"/>
    </xf>
    <xf numFmtId="0" fontId="4" fillId="9" borderId="92" xfId="0" applyFont="1" applyFill="1" applyBorder="1"/>
    <xf numFmtId="0" fontId="0" fillId="0" borderId="0" xfId="0" applyBorder="1"/>
    <xf numFmtId="0" fontId="0" fillId="9" borderId="114" xfId="0" applyFill="1" applyBorder="1"/>
    <xf numFmtId="0" fontId="0" fillId="9" borderId="115" xfId="0" applyFill="1" applyBorder="1"/>
    <xf numFmtId="0" fontId="0" fillId="9" borderId="116" xfId="0" applyFill="1" applyBorder="1"/>
    <xf numFmtId="0" fontId="0" fillId="9" borderId="117" xfId="0" applyFill="1" applyBorder="1"/>
    <xf numFmtId="0" fontId="0" fillId="9" borderId="118" xfId="0" applyFill="1" applyBorder="1"/>
    <xf numFmtId="0" fontId="0" fillId="9" borderId="119" xfId="0" applyFill="1" applyBorder="1"/>
    <xf numFmtId="0" fontId="0" fillId="9" borderId="120" xfId="0" applyFill="1" applyBorder="1"/>
    <xf numFmtId="0" fontId="5" fillId="9" borderId="117" xfId="0" applyFont="1" applyFill="1" applyBorder="1"/>
    <xf numFmtId="0" fontId="4" fillId="9" borderId="118" xfId="0" applyFont="1" applyFill="1" applyBorder="1"/>
    <xf numFmtId="0" fontId="0" fillId="9" borderId="121" xfId="0" applyFill="1" applyBorder="1"/>
    <xf numFmtId="0" fontId="0" fillId="7" borderId="0" xfId="0" applyFill="1" applyBorder="1" applyAlignment="1">
      <alignment vertical="top"/>
    </xf>
    <xf numFmtId="0" fontId="0" fillId="7" borderId="0" xfId="0" applyFill="1" applyBorder="1" applyAlignment="1">
      <alignment wrapText="1"/>
    </xf>
    <xf numFmtId="0" fontId="5" fillId="7" borderId="92" xfId="0" applyFont="1" applyFill="1" applyBorder="1" applyAlignment="1"/>
    <xf numFmtId="0" fontId="5" fillId="9" borderId="92" xfId="0" applyFont="1" applyFill="1" applyBorder="1"/>
    <xf numFmtId="0" fontId="5" fillId="7" borderId="0" xfId="0" applyFont="1" applyFill="1" applyBorder="1"/>
    <xf numFmtId="0" fontId="4" fillId="0" borderId="0" xfId="0" applyFont="1" applyProtection="1"/>
    <xf numFmtId="0" fontId="9" fillId="3" borderId="11" xfId="0" applyFont="1" applyFill="1" applyBorder="1" applyAlignment="1" applyProtection="1">
      <alignment horizontal="center" vertical="center" wrapText="1"/>
    </xf>
    <xf numFmtId="0" fontId="9" fillId="3" borderId="12" xfId="0" applyFont="1" applyFill="1" applyBorder="1" applyAlignment="1" applyProtection="1">
      <alignment horizontal="center" vertical="center" wrapText="1"/>
    </xf>
    <xf numFmtId="0" fontId="9" fillId="3" borderId="13" xfId="0" applyFont="1" applyFill="1" applyBorder="1" applyAlignment="1" applyProtection="1">
      <alignment horizontal="center" vertical="center" wrapText="1"/>
    </xf>
    <xf numFmtId="0" fontId="4" fillId="2" borderId="2" xfId="0" applyFont="1" applyFill="1" applyBorder="1" applyAlignment="1" applyProtection="1">
      <alignment horizontal="center" vertical="center"/>
    </xf>
    <xf numFmtId="49" fontId="4" fillId="2" borderId="6" xfId="0" applyNumberFormat="1" applyFont="1" applyFill="1" applyBorder="1" applyAlignment="1" applyProtection="1">
      <alignment horizontal="center" vertical="center" wrapText="1"/>
    </xf>
    <xf numFmtId="0" fontId="4" fillId="2" borderId="38" xfId="0" applyFont="1" applyFill="1" applyBorder="1" applyAlignment="1" applyProtection="1">
      <alignment vertical="center" wrapText="1"/>
    </xf>
    <xf numFmtId="49" fontId="4" fillId="2" borderId="3" xfId="0" applyNumberFormat="1"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2" borderId="3" xfId="0" applyFont="1" applyFill="1" applyBorder="1" applyAlignment="1" applyProtection="1">
      <alignment horizontal="right" vertical="center"/>
    </xf>
    <xf numFmtId="0" fontId="4" fillId="2" borderId="10" xfId="0" applyFont="1" applyFill="1" applyBorder="1" applyAlignment="1" applyProtection="1">
      <alignment vertical="center" wrapText="1"/>
    </xf>
    <xf numFmtId="0" fontId="4" fillId="2" borderId="38" xfId="0" applyFont="1" applyFill="1" applyBorder="1" applyAlignment="1" applyProtection="1">
      <alignment horizontal="left" vertical="center" wrapText="1"/>
    </xf>
    <xf numFmtId="0" fontId="4" fillId="2" borderId="38" xfId="0" quotePrefix="1" applyFont="1" applyFill="1" applyBorder="1" applyAlignment="1" applyProtection="1">
      <alignment horizontal="left" vertical="center" wrapText="1"/>
    </xf>
    <xf numFmtId="49" fontId="4" fillId="2" borderId="6" xfId="0" applyNumberFormat="1" applyFont="1" applyFill="1" applyBorder="1" applyAlignment="1" applyProtection="1">
      <alignment horizontal="center" vertical="center"/>
    </xf>
    <xf numFmtId="0" fontId="4" fillId="2" borderId="14" xfId="0" applyFont="1" applyFill="1" applyBorder="1" applyAlignment="1" applyProtection="1">
      <alignment horizontal="center" vertical="center"/>
    </xf>
    <xf numFmtId="0" fontId="4" fillId="2" borderId="5" xfId="0" applyFont="1" applyFill="1" applyBorder="1" applyAlignment="1" applyProtection="1">
      <alignment horizontal="center" vertical="center"/>
    </xf>
    <xf numFmtId="0" fontId="4" fillId="2" borderId="7" xfId="0" applyFont="1" applyFill="1" applyBorder="1" applyAlignment="1" applyProtection="1">
      <alignment horizontal="right" vertical="center"/>
    </xf>
    <xf numFmtId="49" fontId="4" fillId="2" borderId="4" xfId="0" applyNumberFormat="1" applyFont="1" applyFill="1" applyBorder="1" applyAlignment="1" applyProtection="1">
      <alignment horizontal="center" vertical="center"/>
    </xf>
    <xf numFmtId="49" fontId="4" fillId="2" borderId="15" xfId="0" applyNumberFormat="1" applyFont="1" applyFill="1" applyBorder="1" applyAlignment="1" applyProtection="1">
      <alignment vertical="center" wrapText="1"/>
    </xf>
    <xf numFmtId="0" fontId="4" fillId="4" borderId="16" xfId="0" applyFont="1" applyFill="1" applyBorder="1" applyAlignment="1" applyProtection="1">
      <alignment horizontal="center" vertical="center" wrapText="1"/>
    </xf>
    <xf numFmtId="0" fontId="4" fillId="4" borderId="17" xfId="0" applyFont="1" applyFill="1" applyBorder="1" applyAlignment="1" applyProtection="1">
      <alignment horizontal="center" vertical="center" wrapText="1"/>
    </xf>
    <xf numFmtId="0" fontId="4" fillId="4" borderId="18" xfId="0" applyFont="1" applyFill="1" applyBorder="1" applyAlignment="1" applyProtection="1">
      <alignment horizontal="right" vertical="center" wrapText="1"/>
    </xf>
    <xf numFmtId="0" fontId="4" fillId="4" borderId="19" xfId="0" applyFont="1" applyFill="1" applyBorder="1" applyAlignment="1" applyProtection="1">
      <alignment horizontal="center" vertical="center" wrapText="1"/>
    </xf>
    <xf numFmtId="0" fontId="4" fillId="4" borderId="58" xfId="0" applyFont="1" applyFill="1" applyBorder="1" applyAlignment="1" applyProtection="1">
      <alignment wrapText="1"/>
    </xf>
    <xf numFmtId="0" fontId="4" fillId="4" borderId="20" xfId="0" applyFont="1" applyFill="1" applyBorder="1" applyAlignment="1" applyProtection="1">
      <alignment horizontal="center" vertical="center" wrapText="1"/>
    </xf>
    <xf numFmtId="0" fontId="4" fillId="4" borderId="21" xfId="0" applyFont="1" applyFill="1" applyBorder="1" applyAlignment="1" applyProtection="1">
      <alignment horizontal="center" vertical="center" wrapText="1"/>
    </xf>
    <xf numFmtId="0" fontId="4" fillId="4" borderId="22" xfId="0" applyFont="1" applyFill="1" applyBorder="1" applyAlignment="1" applyProtection="1">
      <alignment horizontal="right" vertical="center" wrapText="1"/>
    </xf>
    <xf numFmtId="0" fontId="4" fillId="4" borderId="23" xfId="0" applyFont="1" applyFill="1" applyBorder="1" applyAlignment="1" applyProtection="1">
      <alignment horizontal="center" vertical="center" wrapText="1"/>
    </xf>
    <xf numFmtId="0" fontId="4" fillId="4" borderId="59" xfId="0" applyFont="1" applyFill="1" applyBorder="1" applyAlignment="1" applyProtection="1">
      <alignment wrapText="1"/>
    </xf>
    <xf numFmtId="0" fontId="4" fillId="4" borderId="24" xfId="0" applyFont="1" applyFill="1" applyBorder="1" applyAlignment="1" applyProtection="1">
      <alignment horizontal="center" vertical="center" wrapText="1"/>
    </xf>
    <xf numFmtId="0" fontId="4" fillId="4" borderId="25" xfId="0" applyFont="1" applyFill="1" applyBorder="1" applyAlignment="1" applyProtection="1">
      <alignment horizontal="center" vertical="center" wrapText="1"/>
    </xf>
    <xf numFmtId="0" fontId="4" fillId="4" borderId="26" xfId="0" applyFont="1" applyFill="1" applyBorder="1" applyAlignment="1" applyProtection="1">
      <alignment horizontal="right" vertical="center" wrapText="1"/>
    </xf>
    <xf numFmtId="0" fontId="4" fillId="4" borderId="25" xfId="0" applyFont="1" applyFill="1" applyBorder="1" applyAlignment="1" applyProtection="1">
      <alignment horizontal="left" vertical="center" wrapText="1"/>
    </xf>
    <xf numFmtId="0" fontId="4" fillId="5" borderId="28" xfId="0" applyFont="1" applyFill="1" applyBorder="1" applyAlignment="1" applyProtection="1">
      <alignment horizontal="center" vertical="center" wrapText="1"/>
    </xf>
    <xf numFmtId="0" fontId="4" fillId="5" borderId="29" xfId="0" applyFont="1" applyFill="1" applyBorder="1" applyAlignment="1" applyProtection="1">
      <alignment horizontal="center" vertical="center" wrapText="1"/>
    </xf>
    <xf numFmtId="0" fontId="4" fillId="5" borderId="30" xfId="0" applyFont="1" applyFill="1" applyBorder="1" applyAlignment="1" applyProtection="1">
      <alignment horizontal="right" vertical="center" wrapText="1"/>
    </xf>
    <xf numFmtId="0" fontId="4" fillId="5" borderId="31" xfId="0" applyFont="1" applyFill="1" applyBorder="1" applyAlignment="1" applyProtection="1">
      <alignment horizontal="center" vertical="center" wrapText="1"/>
    </xf>
    <xf numFmtId="49" fontId="4" fillId="5" borderId="29" xfId="0" applyNumberFormat="1" applyFont="1" applyFill="1" applyBorder="1" applyAlignment="1" applyProtection="1">
      <alignment horizontal="left" vertical="center" wrapText="1"/>
    </xf>
    <xf numFmtId="49" fontId="4" fillId="6" borderId="3" xfId="0" applyNumberFormat="1" applyFont="1" applyFill="1" applyBorder="1" applyAlignment="1" applyProtection="1">
      <alignment horizontal="center" vertical="center"/>
    </xf>
    <xf numFmtId="0" fontId="4" fillId="6" borderId="41" xfId="0" applyNumberFormat="1" applyFont="1" applyFill="1" applyBorder="1" applyAlignment="1" applyProtection="1">
      <alignment horizontal="center" vertical="center"/>
    </xf>
    <xf numFmtId="0" fontId="4" fillId="6" borderId="39" xfId="0" applyFont="1" applyFill="1" applyBorder="1" applyAlignment="1" applyProtection="1">
      <alignment horizontal="right" vertical="center"/>
    </xf>
    <xf numFmtId="49" fontId="4" fillId="6" borderId="2" xfId="0" applyNumberFormat="1" applyFont="1" applyFill="1" applyBorder="1" applyAlignment="1" applyProtection="1">
      <alignment horizontal="center" vertical="center" wrapText="1"/>
    </xf>
    <xf numFmtId="0" fontId="4" fillId="6" borderId="61" xfId="0" applyFont="1" applyFill="1" applyBorder="1" applyAlignment="1" applyProtection="1">
      <alignment wrapText="1"/>
    </xf>
    <xf numFmtId="0" fontId="4" fillId="6" borderId="42" xfId="0" applyFont="1" applyFill="1" applyBorder="1" applyAlignment="1" applyProtection="1">
      <alignment horizontal="right" vertical="center"/>
    </xf>
    <xf numFmtId="49" fontId="4" fillId="6" borderId="43" xfId="0" applyNumberFormat="1" applyFont="1" applyFill="1" applyBorder="1" applyAlignment="1" applyProtection="1">
      <alignment horizontal="center" vertical="center" wrapText="1"/>
    </xf>
    <xf numFmtId="49" fontId="4" fillId="6" borderId="7" xfId="0" applyNumberFormat="1" applyFont="1" applyFill="1" applyBorder="1" applyAlignment="1" applyProtection="1">
      <alignment horizontal="center" vertical="center"/>
    </xf>
    <xf numFmtId="0" fontId="4" fillId="6" borderId="15" xfId="0" applyNumberFormat="1" applyFont="1" applyFill="1" applyBorder="1" applyAlignment="1" applyProtection="1">
      <alignment horizontal="center" vertical="center"/>
    </xf>
    <xf numFmtId="0" fontId="4" fillId="6" borderId="50" xfId="0" applyFont="1" applyFill="1" applyBorder="1" applyAlignment="1" applyProtection="1">
      <alignment horizontal="right" vertical="center"/>
    </xf>
    <xf numFmtId="49" fontId="4" fillId="6" borderId="45" xfId="0" applyNumberFormat="1" applyFont="1" applyFill="1" applyBorder="1" applyAlignment="1" applyProtection="1">
      <alignment horizontal="center" vertical="center" wrapText="1"/>
    </xf>
    <xf numFmtId="0" fontId="4" fillId="6" borderId="60" xfId="0" applyFont="1" applyFill="1" applyBorder="1" applyAlignment="1" applyProtection="1">
      <alignment wrapText="1"/>
    </xf>
    <xf numFmtId="0" fontId="4" fillId="7" borderId="0" xfId="0" applyFont="1" applyFill="1" applyBorder="1" applyAlignment="1">
      <alignment vertical="top"/>
    </xf>
    <xf numFmtId="0" fontId="5" fillId="7" borderId="0" xfId="0" applyFont="1" applyFill="1" applyBorder="1" applyAlignment="1">
      <alignment wrapText="1"/>
    </xf>
    <xf numFmtId="0" fontId="4" fillId="7" borderId="97" xfId="0" applyFont="1" applyFill="1" applyBorder="1" applyAlignment="1">
      <alignment vertical="top"/>
    </xf>
    <xf numFmtId="0" fontId="4" fillId="9" borderId="0" xfId="0" applyFont="1" applyFill="1" applyBorder="1" applyAlignment="1">
      <alignment horizontal="left" vertical="top"/>
    </xf>
    <xf numFmtId="0" fontId="4" fillId="4" borderId="122" xfId="0" applyFont="1" applyFill="1" applyBorder="1" applyAlignment="1">
      <alignment wrapText="1"/>
    </xf>
    <xf numFmtId="0" fontId="30" fillId="2" borderId="6" xfId="0" applyNumberFormat="1" applyFont="1" applyFill="1" applyBorder="1" applyAlignment="1" applyProtection="1">
      <alignment horizontal="right" vertical="center"/>
    </xf>
    <xf numFmtId="0" fontId="30" fillId="4" borderId="19" xfId="0" applyFont="1" applyFill="1" applyBorder="1" applyAlignment="1" applyProtection="1">
      <alignment horizontal="right" vertical="center" wrapText="1"/>
    </xf>
    <xf numFmtId="0" fontId="30" fillId="4" borderId="23" xfId="0" applyFont="1" applyFill="1" applyBorder="1" applyAlignment="1" applyProtection="1">
      <alignment horizontal="right" vertical="center" wrapText="1"/>
    </xf>
    <xf numFmtId="0" fontId="30" fillId="6" borderId="2" xfId="0" applyNumberFormat="1" applyFont="1" applyFill="1" applyBorder="1" applyAlignment="1" applyProtection="1">
      <alignment horizontal="right" vertical="center"/>
    </xf>
    <xf numFmtId="0" fontId="30" fillId="6" borderId="5" xfId="0" applyNumberFormat="1" applyFont="1" applyFill="1" applyBorder="1" applyAlignment="1" applyProtection="1">
      <alignment horizontal="right" vertical="center"/>
    </xf>
    <xf numFmtId="49" fontId="31" fillId="2" borderId="6" xfId="0" applyNumberFormat="1" applyFont="1" applyFill="1" applyBorder="1" applyAlignment="1" applyProtection="1">
      <alignment horizontal="right" vertical="center"/>
    </xf>
    <xf numFmtId="49" fontId="31" fillId="2" borderId="8" xfId="0" applyNumberFormat="1" applyFont="1" applyFill="1" applyBorder="1" applyAlignment="1" applyProtection="1">
      <alignment horizontal="right" vertical="center"/>
    </xf>
    <xf numFmtId="0" fontId="31" fillId="4" borderId="23" xfId="0" applyFont="1" applyFill="1" applyBorder="1" applyAlignment="1" applyProtection="1">
      <alignment horizontal="right" vertical="center" wrapText="1"/>
    </xf>
    <xf numFmtId="49" fontId="31" fillId="4" borderId="27" xfId="0" applyNumberFormat="1" applyFont="1" applyFill="1" applyBorder="1" applyAlignment="1" applyProtection="1">
      <alignment horizontal="right" vertical="center" wrapText="1"/>
    </xf>
    <xf numFmtId="49" fontId="31" fillId="5" borderId="31" xfId="0" applyNumberFormat="1" applyFont="1" applyFill="1" applyBorder="1" applyAlignment="1" applyProtection="1">
      <alignment horizontal="right" vertical="center" wrapText="1"/>
    </xf>
    <xf numFmtId="49" fontId="31" fillId="6" borderId="43" xfId="0" applyNumberFormat="1" applyFont="1" applyFill="1" applyBorder="1" applyAlignment="1" applyProtection="1">
      <alignment horizontal="right" vertical="center"/>
    </xf>
    <xf numFmtId="0" fontId="30" fillId="2" borderId="6" xfId="0" applyNumberFormat="1" applyFont="1" applyFill="1" applyBorder="1" applyAlignment="1">
      <alignment horizontal="right" vertical="center"/>
    </xf>
    <xf numFmtId="0" fontId="30" fillId="4" borderId="19" xfId="0" applyFont="1" applyFill="1" applyBorder="1" applyAlignment="1">
      <alignment horizontal="right" vertical="center" wrapText="1"/>
    </xf>
    <xf numFmtId="0" fontId="30" fillId="4" borderId="23" xfId="0" applyFont="1" applyFill="1" applyBorder="1" applyAlignment="1">
      <alignment horizontal="right" vertical="center" wrapText="1"/>
    </xf>
    <xf numFmtId="0" fontId="30" fillId="6" borderId="2" xfId="0" applyNumberFormat="1" applyFont="1" applyFill="1" applyBorder="1" applyAlignment="1">
      <alignment horizontal="right" vertical="center"/>
    </xf>
    <xf numFmtId="0" fontId="30" fillId="6" borderId="43" xfId="0" applyNumberFormat="1" applyFont="1" applyFill="1" applyBorder="1" applyAlignment="1">
      <alignment horizontal="right" vertical="center"/>
    </xf>
    <xf numFmtId="49" fontId="30" fillId="6" borderId="43" xfId="0" applyNumberFormat="1" applyFont="1" applyFill="1" applyBorder="1" applyAlignment="1">
      <alignment horizontal="right" vertical="center"/>
    </xf>
    <xf numFmtId="49" fontId="30" fillId="2" borderId="6" xfId="0" applyNumberFormat="1" applyFont="1" applyFill="1" applyBorder="1" applyAlignment="1">
      <alignment horizontal="right" vertical="center"/>
    </xf>
    <xf numFmtId="49" fontId="31" fillId="2" borderId="6" xfId="0" applyNumberFormat="1" applyFont="1" applyFill="1" applyBorder="1" applyAlignment="1">
      <alignment horizontal="right" vertical="center"/>
    </xf>
    <xf numFmtId="49" fontId="31" fillId="2" borderId="8" xfId="0" applyNumberFormat="1" applyFont="1" applyFill="1" applyBorder="1" applyAlignment="1">
      <alignment horizontal="right" vertical="center"/>
    </xf>
    <xf numFmtId="0" fontId="31" fillId="4" borderId="23" xfId="0" applyFont="1" applyFill="1" applyBorder="1" applyAlignment="1">
      <alignment horizontal="right" vertical="center" wrapText="1"/>
    </xf>
    <xf numFmtId="49" fontId="31" fillId="4" borderId="27" xfId="0" applyNumberFormat="1" applyFont="1" applyFill="1" applyBorder="1" applyAlignment="1">
      <alignment horizontal="right" vertical="center" wrapText="1"/>
    </xf>
    <xf numFmtId="49" fontId="31" fillId="5" borderId="31" xfId="0" applyNumberFormat="1" applyFont="1" applyFill="1" applyBorder="1" applyAlignment="1">
      <alignment horizontal="right" vertical="center" wrapText="1"/>
    </xf>
    <xf numFmtId="49" fontId="31" fillId="6" borderId="43" xfId="0" applyNumberFormat="1" applyFont="1" applyFill="1" applyBorder="1" applyAlignment="1">
      <alignment horizontal="right" vertical="center"/>
    </xf>
    <xf numFmtId="49" fontId="31" fillId="6" borderId="5" xfId="0" applyNumberFormat="1" applyFont="1" applyFill="1" applyBorder="1" applyAlignment="1">
      <alignment horizontal="right" vertical="center"/>
    </xf>
    <xf numFmtId="49" fontId="31" fillId="2" borderId="6" xfId="0" applyNumberFormat="1" applyFont="1" applyFill="1" applyBorder="1" applyAlignment="1">
      <alignment horizontal="right" vertical="center" wrapText="1"/>
    </xf>
    <xf numFmtId="49" fontId="31" fillId="2" borderId="37" xfId="0" applyNumberFormat="1" applyFont="1" applyFill="1" applyBorder="1" applyAlignment="1">
      <alignment horizontal="right" vertical="center"/>
    </xf>
    <xf numFmtId="49" fontId="31" fillId="6" borderId="4" xfId="0" applyNumberFormat="1" applyFont="1" applyFill="1" applyBorder="1" applyAlignment="1">
      <alignment horizontal="right" vertical="center"/>
    </xf>
    <xf numFmtId="49" fontId="31" fillId="5" borderId="4" xfId="0" applyNumberFormat="1" applyFont="1" applyFill="1" applyBorder="1" applyAlignment="1">
      <alignment horizontal="right" vertical="center"/>
    </xf>
    <xf numFmtId="49" fontId="31" fillId="5" borderId="5" xfId="0" applyNumberFormat="1" applyFont="1" applyFill="1" applyBorder="1" applyAlignment="1">
      <alignment horizontal="right" vertical="center"/>
    </xf>
    <xf numFmtId="0" fontId="4" fillId="8" borderId="65" xfId="0" applyNumberFormat="1" applyFont="1" applyFill="1" applyBorder="1" applyAlignment="1">
      <alignment horizontal="center" vertical="center"/>
    </xf>
    <xf numFmtId="0" fontId="4" fillId="8" borderId="61" xfId="0" applyNumberFormat="1" applyFont="1" applyFill="1" applyBorder="1" applyAlignment="1">
      <alignment horizontal="center" vertical="center"/>
    </xf>
    <xf numFmtId="0" fontId="4" fillId="8" borderId="42" xfId="0" applyFont="1" applyFill="1" applyBorder="1" applyAlignment="1">
      <alignment horizontal="right" vertical="center"/>
    </xf>
    <xf numFmtId="49" fontId="4" fillId="8" borderId="4" xfId="0" applyNumberFormat="1" applyFont="1" applyFill="1" applyBorder="1" applyAlignment="1">
      <alignment horizontal="right" vertical="center"/>
    </xf>
    <xf numFmtId="49" fontId="4" fillId="8" borderId="4" xfId="0" applyNumberFormat="1" applyFont="1" applyFill="1" applyBorder="1" applyAlignment="1">
      <alignment horizontal="center"/>
    </xf>
    <xf numFmtId="0" fontId="4" fillId="8" borderId="63" xfId="0" applyFont="1" applyFill="1" applyBorder="1" applyAlignment="1">
      <alignment wrapText="1"/>
    </xf>
    <xf numFmtId="0" fontId="4" fillId="8" borderId="41" xfId="0" applyNumberFormat="1" applyFont="1" applyFill="1" applyBorder="1" applyAlignment="1">
      <alignment horizontal="center" vertical="center"/>
    </xf>
    <xf numFmtId="0" fontId="4" fillId="8" borderId="66" xfId="0" applyNumberFormat="1" applyFont="1" applyFill="1" applyBorder="1" applyAlignment="1">
      <alignment horizontal="center" vertical="center"/>
    </xf>
    <xf numFmtId="0" fontId="4" fillId="8" borderId="15" xfId="0" applyNumberFormat="1" applyFont="1" applyFill="1" applyBorder="1" applyAlignment="1">
      <alignment horizontal="center" vertical="center"/>
    </xf>
    <xf numFmtId="0" fontId="4" fillId="8" borderId="55" xfId="0" applyFont="1" applyFill="1" applyBorder="1" applyAlignment="1">
      <alignment horizontal="right" vertical="center"/>
    </xf>
    <xf numFmtId="49" fontId="4" fillId="8" borderId="5" xfId="0" applyNumberFormat="1" applyFont="1" applyFill="1" applyBorder="1" applyAlignment="1">
      <alignment horizontal="right" vertical="center"/>
    </xf>
    <xf numFmtId="49" fontId="4" fillId="8" borderId="15" xfId="0" applyNumberFormat="1" applyFont="1" applyFill="1" applyBorder="1" applyAlignment="1">
      <alignment vertical="center" wrapText="1"/>
    </xf>
    <xf numFmtId="0" fontId="30" fillId="6" borderId="45" xfId="0" applyNumberFormat="1" applyFont="1" applyFill="1" applyBorder="1" applyAlignment="1">
      <alignment horizontal="right" vertical="center"/>
    </xf>
    <xf numFmtId="49" fontId="31" fillId="5" borderId="57" xfId="0" applyNumberFormat="1" applyFont="1" applyFill="1" applyBorder="1" applyAlignment="1">
      <alignment horizontal="right" vertical="center" wrapText="1"/>
    </xf>
    <xf numFmtId="0" fontId="30" fillId="2" borderId="109" xfId="0" applyNumberFormat="1" applyFont="1" applyFill="1" applyBorder="1" applyAlignment="1">
      <alignment horizontal="right" vertical="center"/>
    </xf>
    <xf numFmtId="0" fontId="30" fillId="2" borderId="67" xfId="0" applyNumberFormat="1" applyFont="1" applyFill="1" applyBorder="1" applyAlignment="1">
      <alignment horizontal="right" vertical="center"/>
    </xf>
    <xf numFmtId="0" fontId="31" fillId="0" borderId="0" xfId="0" applyFont="1" applyAlignment="1">
      <alignment vertical="top" wrapText="1"/>
    </xf>
    <xf numFmtId="49" fontId="31" fillId="2" borderId="67" xfId="0" applyNumberFormat="1" applyFont="1" applyFill="1" applyBorder="1" applyAlignment="1">
      <alignment horizontal="right" vertical="center"/>
    </xf>
    <xf numFmtId="0" fontId="31" fillId="0" borderId="102" xfId="0" applyNumberFormat="1" applyFont="1" applyFill="1" applyBorder="1" applyAlignment="1">
      <alignment horizontal="right" vertical="center" wrapText="1"/>
    </xf>
    <xf numFmtId="49" fontId="31" fillId="0" borderId="107" xfId="0" applyNumberFormat="1" applyFont="1" applyFill="1" applyBorder="1" applyAlignment="1">
      <alignment horizontal="right" vertical="center" wrapText="1"/>
    </xf>
    <xf numFmtId="0" fontId="30" fillId="4" borderId="19" xfId="0" applyNumberFormat="1" applyFont="1" applyFill="1" applyBorder="1" applyAlignment="1">
      <alignment horizontal="right" vertical="center" wrapText="1"/>
    </xf>
    <xf numFmtId="0" fontId="30" fillId="4" borderId="23" xfId="0" applyNumberFormat="1" applyFont="1" applyFill="1" applyBorder="1" applyAlignment="1">
      <alignment horizontal="right" vertical="center" wrapText="1"/>
    </xf>
    <xf numFmtId="0" fontId="30" fillId="6" borderId="78" xfId="0" applyNumberFormat="1" applyFont="1" applyFill="1" applyBorder="1" applyAlignment="1">
      <alignment horizontal="right" vertical="center"/>
    </xf>
    <xf numFmtId="49" fontId="31" fillId="2" borderId="67" xfId="0" applyNumberFormat="1" applyFont="1" applyFill="1" applyBorder="1" applyAlignment="1">
      <alignment horizontal="right" vertical="center" wrapText="1"/>
    </xf>
    <xf numFmtId="49" fontId="31" fillId="6" borderId="75" xfId="0" applyNumberFormat="1" applyFont="1" applyFill="1" applyBorder="1" applyAlignment="1">
      <alignment horizontal="right" vertical="center"/>
    </xf>
    <xf numFmtId="49" fontId="31" fillId="8" borderId="82" xfId="0" applyNumberFormat="1" applyFont="1" applyFill="1" applyBorder="1" applyAlignment="1">
      <alignment horizontal="right" vertical="center"/>
    </xf>
    <xf numFmtId="49" fontId="31" fillId="8" borderId="75" xfId="0" applyNumberFormat="1" applyFont="1" applyFill="1" applyBorder="1" applyAlignment="1">
      <alignment horizontal="right" vertical="center"/>
    </xf>
    <xf numFmtId="49" fontId="31" fillId="8" borderId="78" xfId="0" applyNumberFormat="1" applyFont="1" applyFill="1" applyBorder="1" applyAlignment="1">
      <alignment horizontal="right" vertical="center"/>
    </xf>
    <xf numFmtId="0" fontId="11" fillId="0" borderId="0" xfId="0" applyFont="1" applyAlignment="1"/>
    <xf numFmtId="0" fontId="31" fillId="4" borderId="27" xfId="0" applyFont="1" applyFill="1" applyBorder="1" applyAlignment="1">
      <alignment horizontal="right" vertical="center" wrapText="1"/>
    </xf>
    <xf numFmtId="0" fontId="31" fillId="4" borderId="27" xfId="0" applyNumberFormat="1" applyFont="1" applyFill="1" applyBorder="1" applyAlignment="1">
      <alignment horizontal="right" vertical="center" wrapText="1"/>
    </xf>
    <xf numFmtId="0" fontId="0" fillId="7" borderId="97" xfId="0" applyFill="1" applyBorder="1" applyAlignment="1">
      <alignment vertical="top"/>
    </xf>
    <xf numFmtId="0" fontId="5" fillId="7" borderId="0" xfId="0" applyFont="1" applyFill="1" applyBorder="1" applyAlignment="1">
      <alignment vertical="center"/>
    </xf>
    <xf numFmtId="49" fontId="32" fillId="6" borderId="2" xfId="0" applyNumberFormat="1" applyFont="1" applyFill="1" applyBorder="1" applyAlignment="1">
      <alignment horizontal="right" vertical="center"/>
    </xf>
    <xf numFmtId="49" fontId="32" fillId="2" borderId="67" xfId="0" applyNumberFormat="1" applyFont="1" applyFill="1" applyBorder="1" applyAlignment="1">
      <alignment horizontal="right" vertical="center"/>
    </xf>
    <xf numFmtId="0" fontId="4" fillId="9" borderId="92" xfId="0" applyFont="1" applyFill="1" applyBorder="1" applyAlignment="1"/>
    <xf numFmtId="0" fontId="4" fillId="9" borderId="97" xfId="0" applyFont="1" applyFill="1" applyBorder="1" applyAlignment="1">
      <alignment wrapText="1"/>
    </xf>
    <xf numFmtId="0" fontId="9" fillId="0" borderId="0" xfId="0" applyFont="1" applyAlignment="1">
      <alignment horizontal="left" vertical="top" wrapText="1"/>
    </xf>
    <xf numFmtId="0" fontId="10" fillId="0" borderId="0" xfId="0" applyFont="1" applyAlignment="1">
      <alignment horizontal="left" vertical="top" wrapText="1"/>
    </xf>
    <xf numFmtId="0" fontId="33" fillId="0" borderId="0" xfId="0" applyFont="1" applyAlignment="1">
      <alignment horizontal="left" vertical="top" wrapText="1"/>
    </xf>
    <xf numFmtId="0" fontId="29" fillId="0" borderId="0" xfId="0" applyFont="1" applyAlignment="1">
      <alignment horizontal="left" vertical="center" wrapText="1"/>
    </xf>
    <xf numFmtId="0" fontId="0" fillId="0" borderId="0" xfId="0" applyFill="1" applyBorder="1"/>
    <xf numFmtId="0" fontId="4" fillId="0" borderId="0" xfId="0" applyFont="1" applyFill="1" applyBorder="1" applyAlignment="1">
      <alignment vertical="center" wrapText="1"/>
    </xf>
    <xf numFmtId="0" fontId="4" fillId="7" borderId="97" xfId="0" applyFont="1" applyFill="1" applyBorder="1" applyAlignment="1">
      <alignment vertical="center" wrapText="1"/>
    </xf>
    <xf numFmtId="0" fontId="5" fillId="0" borderId="0" xfId="0" applyFont="1"/>
    <xf numFmtId="0" fontId="5" fillId="0" borderId="0" xfId="0" applyFont="1" applyAlignment="1"/>
    <xf numFmtId="0" fontId="4" fillId="0" borderId="87" xfId="0" applyFont="1" applyFill="1" applyBorder="1" applyAlignment="1">
      <alignment vertical="center" wrapText="1"/>
    </xf>
    <xf numFmtId="0" fontId="0" fillId="0" borderId="87" xfId="0" applyFill="1" applyBorder="1"/>
    <xf numFmtId="0" fontId="0" fillId="7" borderId="86" xfId="0" applyFill="1" applyBorder="1"/>
    <xf numFmtId="0" fontId="5" fillId="9" borderId="91" xfId="0" applyFont="1" applyFill="1" applyBorder="1" applyAlignment="1">
      <alignment horizontal="left"/>
    </xf>
    <xf numFmtId="0" fontId="5" fillId="9" borderId="92" xfId="0" applyFont="1" applyFill="1" applyBorder="1" applyAlignment="1">
      <alignment horizontal="left"/>
    </xf>
    <xf numFmtId="0" fontId="34" fillId="11" borderId="89" xfId="0" applyFont="1" applyFill="1" applyBorder="1" applyAlignment="1">
      <alignment wrapText="1"/>
    </xf>
    <xf numFmtId="0" fontId="4" fillId="7" borderId="0" xfId="0" applyFont="1" applyFill="1" applyBorder="1" applyAlignment="1">
      <alignment horizontal="left" vertical="top" wrapText="1"/>
    </xf>
    <xf numFmtId="0" fontId="4" fillId="7" borderId="97" xfId="0" applyFont="1" applyFill="1" applyBorder="1" applyAlignment="1">
      <alignment horizontal="left" vertical="top" wrapText="1"/>
    </xf>
    <xf numFmtId="0" fontId="4" fillId="7" borderId="0" xfId="0" applyFont="1" applyFill="1" applyBorder="1" applyAlignment="1">
      <alignment horizontal="left" vertical="center" wrapText="1"/>
    </xf>
    <xf numFmtId="0" fontId="4" fillId="0" borderId="0" xfId="0" applyFont="1" applyAlignment="1">
      <alignment horizontal="left" vertical="top" wrapText="1"/>
    </xf>
    <xf numFmtId="0" fontId="38" fillId="0" borderId="89" xfId="6" applyFont="1" applyBorder="1" applyAlignment="1">
      <alignment vertical="top" wrapText="1"/>
    </xf>
    <xf numFmtId="0" fontId="1" fillId="0" borderId="0" xfId="6" applyBorder="1"/>
    <xf numFmtId="0" fontId="1" fillId="0" borderId="0" xfId="6"/>
    <xf numFmtId="0" fontId="41" fillId="0" borderId="89" xfId="6" applyFont="1" applyBorder="1" applyAlignment="1">
      <alignment horizontal="left" vertical="center" wrapText="1" readingOrder="1"/>
    </xf>
    <xf numFmtId="0" fontId="37" fillId="13" borderId="89" xfId="6" applyFont="1" applyFill="1" applyBorder="1" applyAlignment="1">
      <alignment wrapText="1"/>
    </xf>
    <xf numFmtId="0" fontId="37" fillId="13" borderId="89" xfId="6" applyFont="1" applyFill="1" applyBorder="1"/>
    <xf numFmtId="49" fontId="38" fillId="0" borderId="89" xfId="6" applyNumberFormat="1" applyFont="1" applyBorder="1" applyAlignment="1">
      <alignment vertical="top"/>
    </xf>
    <xf numFmtId="0" fontId="42" fillId="0" borderId="89" xfId="6" applyFont="1" applyBorder="1" applyAlignment="1">
      <alignment vertical="top" wrapText="1"/>
    </xf>
    <xf numFmtId="14" fontId="42" fillId="0" borderId="89" xfId="6" applyNumberFormat="1" applyFont="1" applyBorder="1" applyAlignment="1">
      <alignment vertical="top" wrapText="1"/>
    </xf>
    <xf numFmtId="49" fontId="38" fillId="0" borderId="89" xfId="6" applyNumberFormat="1" applyFont="1" applyBorder="1"/>
    <xf numFmtId="0" fontId="38" fillId="0" borderId="89" xfId="6" applyFont="1" applyBorder="1" applyAlignment="1">
      <alignment wrapText="1"/>
    </xf>
    <xf numFmtId="0" fontId="42" fillId="0" borderId="89" xfId="6" applyFont="1" applyBorder="1" applyAlignment="1">
      <alignment wrapText="1"/>
    </xf>
    <xf numFmtId="0" fontId="1" fillId="0" borderId="0" xfId="6" applyAlignment="1">
      <alignment wrapText="1"/>
    </xf>
    <xf numFmtId="49" fontId="44" fillId="0" borderId="89" xfId="6" applyNumberFormat="1" applyFont="1" applyBorder="1" applyAlignment="1">
      <alignment vertical="top"/>
    </xf>
    <xf numFmtId="14" fontId="46" fillId="0" borderId="89" xfId="6" applyNumberFormat="1" applyFont="1" applyBorder="1" applyAlignment="1">
      <alignment vertical="top" wrapText="1"/>
    </xf>
    <xf numFmtId="0" fontId="45" fillId="0" borderId="89" xfId="6" applyFont="1" applyFill="1" applyBorder="1" applyAlignment="1">
      <alignment wrapText="1"/>
    </xf>
    <xf numFmtId="0" fontId="43" fillId="0" borderId="0" xfId="6" applyFont="1" applyFill="1" applyBorder="1"/>
    <xf numFmtId="0" fontId="43" fillId="0" borderId="0" xfId="6" applyFont="1" applyFill="1"/>
    <xf numFmtId="0" fontId="44" fillId="0" borderId="89" xfId="6" applyFont="1" applyBorder="1" applyAlignment="1">
      <alignment vertical="top" wrapText="1"/>
    </xf>
    <xf numFmtId="0" fontId="47" fillId="0" borderId="0" xfId="0" applyFont="1" applyAlignment="1">
      <alignment horizontal="left" vertical="top" wrapText="1"/>
    </xf>
    <xf numFmtId="0" fontId="48" fillId="0" borderId="0" xfId="0" applyFont="1" applyAlignment="1">
      <alignment horizontal="left" vertical="top" wrapText="1"/>
    </xf>
    <xf numFmtId="0" fontId="48" fillId="0" borderId="0" xfId="0" applyFont="1" applyAlignment="1">
      <alignment vertical="top" wrapText="1"/>
    </xf>
    <xf numFmtId="0" fontId="10" fillId="0" borderId="0" xfId="0" applyFont="1" applyAlignment="1">
      <alignment vertical="top"/>
    </xf>
    <xf numFmtId="0" fontId="20" fillId="0" borderId="84" xfId="0" applyNumberFormat="1" applyFont="1" applyFill="1" applyBorder="1" applyAlignment="1">
      <alignment horizontal="center" vertical="center"/>
    </xf>
    <xf numFmtId="1" fontId="20" fillId="0" borderId="70" xfId="0" applyNumberFormat="1" applyFont="1" applyFill="1" applyBorder="1" applyAlignment="1">
      <alignment horizontal="center" vertical="center"/>
    </xf>
    <xf numFmtId="0" fontId="20" fillId="8" borderId="74" xfId="0" applyFont="1" applyFill="1" applyBorder="1" applyAlignment="1">
      <alignment wrapText="1"/>
    </xf>
    <xf numFmtId="49" fontId="49" fillId="8" borderId="75" xfId="0" applyNumberFormat="1" applyFont="1" applyFill="1" applyBorder="1" applyAlignment="1">
      <alignment horizontal="right" vertical="center"/>
    </xf>
    <xf numFmtId="0" fontId="20" fillId="0" borderId="7" xfId="0" applyNumberFormat="1" applyFont="1" applyFill="1" applyBorder="1" applyAlignment="1">
      <alignment horizontal="center" vertical="center"/>
    </xf>
    <xf numFmtId="1" fontId="20" fillId="0" borderId="15" xfId="0" applyNumberFormat="1" applyFont="1" applyFill="1" applyBorder="1" applyAlignment="1">
      <alignment horizontal="center" vertical="center"/>
    </xf>
    <xf numFmtId="0" fontId="4" fillId="0" borderId="0" xfId="2"/>
    <xf numFmtId="0" fontId="4" fillId="0" borderId="0" xfId="2" applyAlignment="1">
      <alignment wrapText="1"/>
    </xf>
    <xf numFmtId="0" fontId="12" fillId="0" borderId="0" xfId="2" applyFont="1" applyAlignment="1"/>
    <xf numFmtId="0" fontId="13" fillId="0" borderId="0" xfId="2" applyFont="1" applyAlignment="1"/>
    <xf numFmtId="0" fontId="9" fillId="3" borderId="11" xfId="2" applyFont="1" applyFill="1" applyBorder="1" applyAlignment="1">
      <alignment horizontal="center" vertical="center" wrapText="1"/>
    </xf>
    <xf numFmtId="0" fontId="9" fillId="3" borderId="12" xfId="2" applyFont="1" applyFill="1" applyBorder="1" applyAlignment="1">
      <alignment horizontal="center" vertical="center" wrapText="1"/>
    </xf>
    <xf numFmtId="0" fontId="9" fillId="3" borderId="13" xfId="2" applyFont="1" applyFill="1" applyBorder="1" applyAlignment="1">
      <alignment horizontal="center" vertical="center" wrapText="1"/>
    </xf>
    <xf numFmtId="49" fontId="4" fillId="2" borderId="1" xfId="2" applyNumberFormat="1" applyFont="1" applyFill="1" applyBorder="1" applyAlignment="1">
      <alignment horizontal="center" vertical="center"/>
    </xf>
    <xf numFmtId="0" fontId="4" fillId="2" borderId="2" xfId="2" applyFont="1" applyFill="1" applyBorder="1" applyAlignment="1">
      <alignment horizontal="center" vertical="center"/>
    </xf>
    <xf numFmtId="0" fontId="4" fillId="2" borderId="69" xfId="2" applyFont="1" applyFill="1" applyBorder="1" applyAlignment="1">
      <alignment horizontal="right" vertical="center"/>
    </xf>
    <xf numFmtId="0" fontId="30" fillId="2" borderId="67" xfId="2" applyNumberFormat="1" applyFont="1" applyFill="1" applyBorder="1" applyAlignment="1">
      <alignment horizontal="right" vertical="center"/>
    </xf>
    <xf numFmtId="49" fontId="4" fillId="2" borderId="2" xfId="2" applyNumberFormat="1" applyFont="1" applyFill="1" applyBorder="1" applyAlignment="1">
      <alignment horizontal="center" vertical="center" wrapText="1"/>
    </xf>
    <xf numFmtId="0" fontId="4" fillId="2" borderId="9" xfId="2" applyFont="1" applyFill="1" applyBorder="1" applyAlignment="1">
      <alignment vertical="center" wrapText="1"/>
    </xf>
    <xf numFmtId="49" fontId="4" fillId="0" borderId="0" xfId="2" applyNumberFormat="1" applyAlignment="1">
      <alignment wrapText="1"/>
    </xf>
    <xf numFmtId="49" fontId="4" fillId="2" borderId="69" xfId="2" applyNumberFormat="1" applyFont="1" applyFill="1" applyBorder="1" applyAlignment="1">
      <alignment horizontal="center" vertical="center"/>
    </xf>
    <xf numFmtId="0" fontId="4" fillId="2" borderId="68" xfId="2" applyFont="1" applyFill="1" applyBorder="1" applyAlignment="1">
      <alignment horizontal="center" vertical="center"/>
    </xf>
    <xf numFmtId="49" fontId="4" fillId="2" borderId="68" xfId="2" applyNumberFormat="1" applyFont="1" applyFill="1" applyBorder="1" applyAlignment="1">
      <alignment horizontal="center" vertical="center" wrapText="1"/>
    </xf>
    <xf numFmtId="0" fontId="4" fillId="2" borderId="70" xfId="2" applyFont="1" applyFill="1" applyBorder="1" applyAlignment="1">
      <alignment vertical="center" wrapText="1"/>
    </xf>
    <xf numFmtId="49" fontId="31" fillId="2" borderId="67" xfId="2" applyNumberFormat="1" applyFont="1" applyFill="1" applyBorder="1" applyAlignment="1">
      <alignment horizontal="right" vertical="center" wrapText="1"/>
    </xf>
    <xf numFmtId="0" fontId="4" fillId="2" borderId="38" xfId="2" applyFont="1" applyFill="1" applyBorder="1" applyAlignment="1">
      <alignment horizontal="left" vertical="center" wrapText="1"/>
    </xf>
    <xf numFmtId="49" fontId="31" fillId="2" borderId="67" xfId="2" applyNumberFormat="1" applyFont="1" applyFill="1" applyBorder="1" applyAlignment="1">
      <alignment horizontal="right" vertical="center"/>
    </xf>
    <xf numFmtId="0" fontId="20" fillId="0" borderId="0" xfId="2" applyFont="1"/>
    <xf numFmtId="49" fontId="4" fillId="2" borderId="35" xfId="2" applyNumberFormat="1" applyFont="1" applyFill="1" applyBorder="1" applyAlignment="1">
      <alignment horizontal="center" vertical="center"/>
    </xf>
    <xf numFmtId="0" fontId="4" fillId="2" borderId="36" xfId="2" applyFont="1" applyFill="1" applyBorder="1" applyAlignment="1">
      <alignment horizontal="center" vertical="center"/>
    </xf>
    <xf numFmtId="0" fontId="4" fillId="2" borderId="35" xfId="2" applyFont="1" applyFill="1" applyBorder="1" applyAlignment="1">
      <alignment horizontal="right" vertical="center"/>
    </xf>
    <xf numFmtId="49" fontId="31" fillId="2" borderId="37" xfId="2" applyNumberFormat="1" applyFont="1" applyFill="1" applyBorder="1" applyAlignment="1">
      <alignment horizontal="right" vertical="center"/>
    </xf>
    <xf numFmtId="49" fontId="4" fillId="2" borderId="36" xfId="2" applyNumberFormat="1" applyFont="1" applyFill="1" applyBorder="1" applyAlignment="1">
      <alignment horizontal="center" vertical="center" wrapText="1"/>
    </xf>
    <xf numFmtId="49" fontId="4" fillId="2" borderId="123" xfId="2" applyNumberFormat="1" applyFont="1" applyFill="1" applyBorder="1" applyAlignment="1">
      <alignment horizontal="center" vertical="center"/>
    </xf>
    <xf numFmtId="0" fontId="4" fillId="2" borderId="124" xfId="2" applyFont="1" applyFill="1" applyBorder="1" applyAlignment="1">
      <alignment horizontal="center" vertical="center"/>
    </xf>
    <xf numFmtId="0" fontId="4" fillId="2" borderId="66" xfId="2" applyFont="1" applyFill="1" applyBorder="1" applyAlignment="1">
      <alignment horizontal="right" vertical="center"/>
    </xf>
    <xf numFmtId="49" fontId="31" fillId="2" borderId="8" xfId="2" applyNumberFormat="1" applyFont="1" applyFill="1" applyBorder="1" applyAlignment="1">
      <alignment horizontal="right" vertical="center"/>
    </xf>
    <xf numFmtId="49" fontId="4" fillId="2" borderId="5" xfId="2" applyNumberFormat="1" applyFont="1" applyFill="1" applyBorder="1" applyAlignment="1">
      <alignment horizontal="center" vertical="center"/>
    </xf>
    <xf numFmtId="49" fontId="4" fillId="2" borderId="15" xfId="2" applyNumberFormat="1" applyFont="1" applyFill="1" applyBorder="1" applyAlignment="1">
      <alignment vertical="center" wrapText="1"/>
    </xf>
    <xf numFmtId="49" fontId="4" fillId="4" borderId="16" xfId="2" applyNumberFormat="1" applyFont="1" applyFill="1" applyBorder="1" applyAlignment="1">
      <alignment horizontal="center" vertical="center" wrapText="1"/>
    </xf>
    <xf numFmtId="0" fontId="4" fillId="4" borderId="17" xfId="2" applyFont="1" applyFill="1" applyBorder="1" applyAlignment="1">
      <alignment horizontal="center" vertical="center" wrapText="1"/>
    </xf>
    <xf numFmtId="0" fontId="4" fillId="4" borderId="18" xfId="2" applyFont="1" applyFill="1" applyBorder="1" applyAlignment="1">
      <alignment horizontal="right" vertical="center" wrapText="1"/>
    </xf>
    <xf numFmtId="0" fontId="30" fillId="4" borderId="19" xfId="2" applyFont="1" applyFill="1" applyBorder="1" applyAlignment="1">
      <alignment horizontal="right" vertical="center" wrapText="1"/>
    </xf>
    <xf numFmtId="0" fontId="4" fillId="4" borderId="19" xfId="2" applyFont="1" applyFill="1" applyBorder="1" applyAlignment="1">
      <alignment horizontal="center" vertical="center" wrapText="1"/>
    </xf>
    <xf numFmtId="0" fontId="4" fillId="4" borderId="17" xfId="2" applyFont="1" applyFill="1" applyBorder="1" applyAlignment="1">
      <alignment horizontal="left" vertical="center" wrapText="1"/>
    </xf>
    <xf numFmtId="49" fontId="4" fillId="4" borderId="20" xfId="2" applyNumberFormat="1" applyFont="1" applyFill="1" applyBorder="1" applyAlignment="1">
      <alignment horizontal="center" vertical="center" wrapText="1"/>
    </xf>
    <xf numFmtId="0" fontId="4" fillId="4" borderId="21" xfId="2" applyFont="1" applyFill="1" applyBorder="1" applyAlignment="1">
      <alignment horizontal="center" vertical="center" wrapText="1"/>
    </xf>
    <xf numFmtId="0" fontId="4" fillId="4" borderId="22" xfId="2" applyFont="1" applyFill="1" applyBorder="1" applyAlignment="1">
      <alignment horizontal="right" vertical="center" wrapText="1"/>
    </xf>
    <xf numFmtId="0" fontId="30" fillId="4" borderId="23" xfId="2" applyFont="1" applyFill="1" applyBorder="1" applyAlignment="1">
      <alignment horizontal="right" vertical="center" wrapText="1"/>
    </xf>
    <xf numFmtId="0" fontId="4" fillId="4" borderId="23" xfId="2" applyFont="1" applyFill="1" applyBorder="1" applyAlignment="1">
      <alignment horizontal="center" vertical="center" wrapText="1"/>
    </xf>
    <xf numFmtId="0" fontId="4" fillId="4" borderId="21" xfId="2" applyFont="1" applyFill="1" applyBorder="1" applyAlignment="1">
      <alignment horizontal="left" vertical="center" wrapText="1"/>
    </xf>
    <xf numFmtId="0" fontId="31" fillId="4" borderId="23" xfId="2" applyFont="1" applyFill="1" applyBorder="1" applyAlignment="1">
      <alignment horizontal="right" vertical="center" wrapText="1"/>
    </xf>
    <xf numFmtId="49" fontId="4" fillId="4" borderId="24" xfId="2" applyNumberFormat="1" applyFont="1" applyFill="1" applyBorder="1" applyAlignment="1">
      <alignment horizontal="center" vertical="center" wrapText="1"/>
    </xf>
    <xf numFmtId="0" fontId="4" fillId="4" borderId="25" xfId="2" applyFont="1" applyFill="1" applyBorder="1" applyAlignment="1">
      <alignment horizontal="center" vertical="center" wrapText="1"/>
    </xf>
    <xf numFmtId="0" fontId="4" fillId="4" borderId="26" xfId="2" applyFont="1" applyFill="1" applyBorder="1" applyAlignment="1">
      <alignment horizontal="right" vertical="center" wrapText="1"/>
    </xf>
    <xf numFmtId="49" fontId="31" fillId="4" borderId="27" xfId="2" applyNumberFormat="1" applyFont="1" applyFill="1" applyBorder="1" applyAlignment="1">
      <alignment horizontal="right" vertical="center" wrapText="1"/>
    </xf>
    <xf numFmtId="0" fontId="4" fillId="4" borderId="27" xfId="2" applyFont="1" applyFill="1" applyBorder="1" applyAlignment="1">
      <alignment horizontal="center" vertical="center" wrapText="1"/>
    </xf>
    <xf numFmtId="0" fontId="16" fillId="0" borderId="12" xfId="2" applyFont="1" applyBorder="1" applyAlignment="1">
      <alignment horizontal="center" vertical="center" wrapText="1"/>
    </xf>
    <xf numFmtId="49" fontId="4" fillId="5" borderId="28" xfId="2" applyNumberFormat="1" applyFont="1" applyFill="1" applyBorder="1" applyAlignment="1">
      <alignment horizontal="center" vertical="center" wrapText="1"/>
    </xf>
    <xf numFmtId="0" fontId="4" fillId="5" borderId="29" xfId="2" applyFont="1" applyFill="1" applyBorder="1" applyAlignment="1">
      <alignment horizontal="center" vertical="center" wrapText="1"/>
    </xf>
    <xf numFmtId="0" fontId="4" fillId="5" borderId="30" xfId="2" applyFont="1" applyFill="1" applyBorder="1" applyAlignment="1">
      <alignment horizontal="right" vertical="center" wrapText="1"/>
    </xf>
    <xf numFmtId="49" fontId="31" fillId="5" borderId="31" xfId="2" applyNumberFormat="1" applyFont="1" applyFill="1" applyBorder="1" applyAlignment="1">
      <alignment horizontal="right" vertical="center" wrapText="1"/>
    </xf>
    <xf numFmtId="0" fontId="4" fillId="5" borderId="31" xfId="2" applyFont="1" applyFill="1" applyBorder="1" applyAlignment="1">
      <alignment horizontal="center" vertical="center" wrapText="1"/>
    </xf>
    <xf numFmtId="0" fontId="4" fillId="5" borderId="29" xfId="2" quotePrefix="1" applyFont="1" applyFill="1" applyBorder="1" applyAlignment="1">
      <alignment horizontal="left" vertical="center" wrapText="1"/>
    </xf>
    <xf numFmtId="49" fontId="4" fillId="6" borderId="125" xfId="2" applyNumberFormat="1" applyFont="1" applyFill="1" applyBorder="1" applyAlignment="1">
      <alignment horizontal="center" vertical="center"/>
    </xf>
    <xf numFmtId="0" fontId="4" fillId="6" borderId="41" xfId="2" applyNumberFormat="1" applyFont="1" applyFill="1" applyBorder="1" applyAlignment="1">
      <alignment horizontal="center" vertical="center"/>
    </xf>
    <xf numFmtId="0" fontId="4" fillId="6" borderId="39" xfId="2" applyFont="1" applyFill="1" applyBorder="1" applyAlignment="1">
      <alignment horizontal="right" vertical="center"/>
    </xf>
    <xf numFmtId="0" fontId="4" fillId="6" borderId="2" xfId="2" applyFont="1" applyFill="1" applyBorder="1" applyAlignment="1">
      <alignment horizontal="center" vertical="center" wrapText="1"/>
    </xf>
    <xf numFmtId="49" fontId="4" fillId="6" borderId="9" xfId="2" applyNumberFormat="1" applyFont="1" applyFill="1" applyBorder="1" applyAlignment="1">
      <alignment vertical="center" wrapText="1"/>
    </xf>
    <xf numFmtId="0" fontId="7" fillId="0" borderId="34" xfId="2" applyFont="1" applyFill="1" applyBorder="1" applyAlignment="1">
      <alignment wrapText="1"/>
    </xf>
    <xf numFmtId="0" fontId="7" fillId="0" borderId="0" xfId="2" applyFont="1" applyFill="1" applyAlignment="1">
      <alignment wrapText="1"/>
    </xf>
    <xf numFmtId="0" fontId="4" fillId="6" borderId="73" xfId="2" applyNumberFormat="1" applyFont="1" applyFill="1" applyBorder="1" applyAlignment="1">
      <alignment horizontal="center" vertical="center"/>
    </xf>
    <xf numFmtId="0" fontId="4" fillId="6" borderId="74" xfId="2" applyFont="1" applyFill="1" applyBorder="1" applyAlignment="1">
      <alignment horizontal="right" vertical="center"/>
    </xf>
    <xf numFmtId="49" fontId="31" fillId="6" borderId="75" xfId="2" applyNumberFormat="1" applyFont="1" applyFill="1" applyBorder="1" applyAlignment="1">
      <alignment horizontal="right" vertical="center"/>
    </xf>
    <xf numFmtId="0" fontId="4" fillId="6" borderId="75" xfId="2" applyFont="1" applyFill="1" applyBorder="1" applyAlignment="1">
      <alignment horizontal="center" vertical="center" wrapText="1"/>
    </xf>
    <xf numFmtId="0" fontId="4" fillId="6" borderId="61" xfId="2" applyFont="1" applyFill="1" applyBorder="1" applyAlignment="1">
      <alignment wrapText="1"/>
    </xf>
    <xf numFmtId="0" fontId="5" fillId="0" borderId="0" xfId="2" applyFont="1" applyFill="1" applyBorder="1" applyAlignment="1">
      <alignment horizontal="center" vertical="center" textRotation="90"/>
    </xf>
    <xf numFmtId="0" fontId="4" fillId="6" borderId="76" xfId="2" applyNumberFormat="1" applyFont="1" applyFill="1" applyBorder="1" applyAlignment="1">
      <alignment horizontal="center" vertical="center"/>
    </xf>
    <xf numFmtId="0" fontId="4" fillId="6" borderId="77" xfId="2" applyFont="1" applyFill="1" applyBorder="1" applyAlignment="1">
      <alignment horizontal="right" vertical="center"/>
    </xf>
    <xf numFmtId="0" fontId="30" fillId="6" borderId="78" xfId="2" applyNumberFormat="1" applyFont="1" applyFill="1" applyBorder="1" applyAlignment="1">
      <alignment horizontal="right" vertical="center"/>
    </xf>
    <xf numFmtId="49" fontId="4" fillId="6" borderId="78" xfId="2" applyNumberFormat="1" applyFont="1" applyFill="1" applyBorder="1" applyAlignment="1">
      <alignment horizontal="center" vertical="center" wrapText="1"/>
    </xf>
    <xf numFmtId="49" fontId="4" fillId="6" borderId="76" xfId="2" applyNumberFormat="1" applyFont="1" applyFill="1" applyBorder="1" applyAlignment="1">
      <alignment horizontal="left" vertical="center" wrapText="1"/>
    </xf>
    <xf numFmtId="0" fontId="4" fillId="0" borderId="79" xfId="2" applyNumberFormat="1" applyFont="1" applyFill="1" applyBorder="1" applyAlignment="1">
      <alignment horizontal="center" vertical="center"/>
    </xf>
    <xf numFmtId="1" fontId="20" fillId="0" borderId="126" xfId="2" applyNumberFormat="1" applyFont="1" applyFill="1" applyBorder="1" applyAlignment="1">
      <alignment horizontal="center" vertical="center"/>
    </xf>
    <xf numFmtId="0" fontId="4" fillId="0" borderId="79" xfId="2" applyNumberFormat="1" applyFont="1" applyFill="1" applyBorder="1" applyAlignment="1">
      <alignment horizontal="right" vertical="center" wrapText="1"/>
    </xf>
    <xf numFmtId="49" fontId="31" fillId="8" borderId="81" xfId="2" applyNumberFormat="1" applyFont="1" applyFill="1" applyBorder="1" applyAlignment="1">
      <alignment horizontal="right" vertical="center"/>
    </xf>
    <xf numFmtId="0" fontId="4" fillId="8" borderId="82" xfId="2" applyFont="1" applyFill="1" applyBorder="1" applyAlignment="1">
      <alignment horizontal="center" vertical="center" wrapText="1"/>
    </xf>
    <xf numFmtId="0" fontId="15" fillId="8" borderId="127" xfId="2" applyFont="1" applyFill="1" applyBorder="1" applyAlignment="1">
      <alignment vertical="center"/>
    </xf>
    <xf numFmtId="0" fontId="20" fillId="0" borderId="84" xfId="2" applyNumberFormat="1" applyFont="1" applyFill="1" applyBorder="1" applyAlignment="1">
      <alignment horizontal="center" vertical="center"/>
    </xf>
    <xf numFmtId="1" fontId="4" fillId="0" borderId="127" xfId="2" applyNumberFormat="1" applyFont="1" applyFill="1" applyBorder="1" applyAlignment="1">
      <alignment horizontal="center" vertical="center"/>
    </xf>
    <xf numFmtId="0" fontId="17" fillId="8" borderId="74" xfId="2" applyFont="1" applyFill="1" applyBorder="1" applyAlignment="1">
      <alignment horizontal="right" wrapText="1"/>
    </xf>
    <xf numFmtId="49" fontId="31" fillId="8" borderId="75" xfId="2" applyNumberFormat="1" applyFont="1" applyFill="1" applyBorder="1" applyAlignment="1">
      <alignment horizontal="right" vertical="center"/>
    </xf>
    <xf numFmtId="0" fontId="4" fillId="8" borderId="75" xfId="2" applyFont="1" applyFill="1" applyBorder="1" applyAlignment="1">
      <alignment horizontal="center" vertical="center" wrapText="1"/>
    </xf>
    <xf numFmtId="0" fontId="17" fillId="8" borderId="73" xfId="2" applyFont="1" applyFill="1" applyBorder="1" applyAlignment="1">
      <alignment wrapText="1"/>
    </xf>
    <xf numFmtId="0" fontId="20" fillId="0" borderId="7" xfId="2" applyNumberFormat="1" applyFont="1" applyFill="1" applyBorder="1" applyAlignment="1">
      <alignment horizontal="center" vertical="center"/>
    </xf>
    <xf numFmtId="1" fontId="20" fillId="0" borderId="15" xfId="2" applyNumberFormat="1" applyFont="1" applyFill="1" applyBorder="1" applyAlignment="1">
      <alignment horizontal="center" vertical="center"/>
    </xf>
    <xf numFmtId="0" fontId="17" fillId="8" borderId="85" xfId="2" applyFont="1" applyFill="1" applyBorder="1" applyAlignment="1">
      <alignment wrapText="1"/>
    </xf>
    <xf numFmtId="49" fontId="31" fillId="8" borderId="78" xfId="2" applyNumberFormat="1" applyFont="1" applyFill="1" applyBorder="1" applyAlignment="1">
      <alignment horizontal="right" vertical="center"/>
    </xf>
    <xf numFmtId="0" fontId="4" fillId="8" borderId="78" xfId="2" applyFont="1" applyFill="1" applyBorder="1" applyAlignment="1">
      <alignment horizontal="center" vertical="center" wrapText="1"/>
    </xf>
    <xf numFmtId="0" fontId="20" fillId="8" borderId="76" xfId="2" applyFont="1" applyFill="1" applyBorder="1" applyAlignment="1">
      <alignment wrapText="1"/>
    </xf>
    <xf numFmtId="0" fontId="5" fillId="0" borderId="0" xfId="2" applyFont="1" applyBorder="1" applyAlignment="1">
      <alignment horizontal="center" vertical="center" textRotation="90" wrapText="1"/>
    </xf>
    <xf numFmtId="0" fontId="4" fillId="0" borderId="0" xfId="2" applyNumberFormat="1" applyFont="1" applyFill="1" applyBorder="1" applyAlignment="1">
      <alignment horizontal="center" vertical="center"/>
    </xf>
    <xf numFmtId="0" fontId="4" fillId="0" borderId="0" xfId="2" applyFont="1"/>
    <xf numFmtId="0" fontId="10" fillId="0" borderId="0" xfId="2" applyFont="1" applyAlignment="1">
      <alignment horizontal="left" wrapText="1" indent="1"/>
    </xf>
    <xf numFmtId="0" fontId="11" fillId="0" borderId="0" xfId="2" applyFont="1"/>
    <xf numFmtId="0" fontId="4" fillId="0" borderId="0" xfId="2" applyFill="1"/>
    <xf numFmtId="0" fontId="15" fillId="0" borderId="0" xfId="2" applyFont="1" applyFill="1" applyBorder="1" applyAlignment="1">
      <alignment horizontal="left" vertical="center"/>
    </xf>
    <xf numFmtId="49" fontId="15" fillId="0" borderId="0" xfId="2" applyNumberFormat="1" applyFont="1" applyFill="1" applyBorder="1" applyAlignment="1">
      <alignment horizontal="center" vertical="center"/>
    </xf>
    <xf numFmtId="0" fontId="15" fillId="0" borderId="0" xfId="2" applyFont="1" applyFill="1" applyBorder="1" applyAlignment="1">
      <alignment vertical="center"/>
    </xf>
    <xf numFmtId="0" fontId="15" fillId="0" borderId="0" xfId="2" applyFont="1" applyFill="1" applyBorder="1" applyAlignment="1">
      <alignment horizontal="center" vertical="center"/>
    </xf>
    <xf numFmtId="0" fontId="4" fillId="0" borderId="0" xfId="2" applyFill="1" applyAlignment="1">
      <alignment wrapText="1"/>
    </xf>
    <xf numFmtId="0" fontId="4" fillId="2" borderId="1" xfId="2" applyFont="1" applyFill="1" applyBorder="1" applyAlignment="1">
      <alignment horizontal="right" vertical="center"/>
    </xf>
    <xf numFmtId="0" fontId="30" fillId="2" borderId="128" xfId="2" applyNumberFormat="1" applyFont="1" applyFill="1" applyBorder="1" applyAlignment="1">
      <alignment horizontal="right" vertical="center"/>
    </xf>
    <xf numFmtId="0" fontId="4" fillId="2" borderId="127" xfId="2" applyFont="1" applyFill="1" applyBorder="1" applyAlignment="1">
      <alignment vertical="center" wrapText="1"/>
    </xf>
    <xf numFmtId="49" fontId="4" fillId="2" borderId="129" xfId="2" applyNumberFormat="1" applyFont="1" applyFill="1" applyBorder="1" applyAlignment="1">
      <alignment horizontal="center" vertical="center"/>
    </xf>
    <xf numFmtId="0" fontId="4" fillId="2" borderId="130" xfId="2" applyFont="1" applyFill="1" applyBorder="1" applyAlignment="1">
      <alignment horizontal="center" vertical="center"/>
    </xf>
    <xf numFmtId="0" fontId="4" fillId="2" borderId="125" xfId="2" applyFont="1" applyFill="1" applyBorder="1" applyAlignment="1">
      <alignment horizontal="right" vertical="center"/>
    </xf>
    <xf numFmtId="49" fontId="4" fillId="2" borderId="130" xfId="2" applyNumberFormat="1" applyFont="1" applyFill="1" applyBorder="1" applyAlignment="1">
      <alignment horizontal="center" vertical="center" wrapText="1"/>
    </xf>
    <xf numFmtId="0" fontId="4" fillId="2" borderId="38" xfId="2" applyFont="1" applyFill="1" applyBorder="1" applyAlignment="1">
      <alignment vertical="center" wrapText="1"/>
    </xf>
    <xf numFmtId="49" fontId="4" fillId="2" borderId="125" xfId="2" applyNumberFormat="1" applyFont="1" applyFill="1" applyBorder="1" applyAlignment="1">
      <alignment horizontal="center" vertical="center"/>
    </xf>
    <xf numFmtId="49" fontId="31" fillId="2" borderId="128" xfId="2" applyNumberFormat="1" applyFont="1" applyFill="1" applyBorder="1" applyAlignment="1">
      <alignment horizontal="right" vertical="center"/>
    </xf>
    <xf numFmtId="49" fontId="4" fillId="2" borderId="130" xfId="2" applyNumberFormat="1" applyFont="1" applyFill="1" applyBorder="1" applyAlignment="1">
      <alignment horizontal="center" vertical="center"/>
    </xf>
    <xf numFmtId="49" fontId="4" fillId="2" borderId="14" xfId="2" applyNumberFormat="1" applyFont="1" applyFill="1" applyBorder="1" applyAlignment="1">
      <alignment horizontal="center" vertical="center"/>
    </xf>
    <xf numFmtId="0" fontId="4" fillId="2" borderId="5" xfId="2" applyFont="1" applyFill="1" applyBorder="1" applyAlignment="1">
      <alignment horizontal="center" vertical="center"/>
    </xf>
    <xf numFmtId="0" fontId="4" fillId="2" borderId="7" xfId="2" applyFont="1" applyFill="1" applyBorder="1" applyAlignment="1">
      <alignment horizontal="right" vertical="center"/>
    </xf>
    <xf numFmtId="49" fontId="31" fillId="2" borderId="131" xfId="2" applyNumberFormat="1" applyFont="1" applyFill="1" applyBorder="1" applyAlignment="1">
      <alignment horizontal="right" vertical="center"/>
    </xf>
    <xf numFmtId="49" fontId="4" fillId="2" borderId="124" xfId="2" applyNumberFormat="1" applyFont="1" applyFill="1" applyBorder="1" applyAlignment="1">
      <alignment horizontal="center" vertical="center"/>
    </xf>
    <xf numFmtId="0" fontId="4" fillId="4" borderId="58" xfId="2" applyFont="1" applyFill="1" applyBorder="1" applyAlignment="1">
      <alignment wrapText="1"/>
    </xf>
    <xf numFmtId="0" fontId="4" fillId="4" borderId="59" xfId="2" applyFont="1" applyFill="1" applyBorder="1" applyAlignment="1">
      <alignment wrapText="1"/>
    </xf>
    <xf numFmtId="0" fontId="4" fillId="4" borderId="60" xfId="2" applyFont="1" applyFill="1" applyBorder="1" applyAlignment="1">
      <alignment wrapText="1"/>
    </xf>
    <xf numFmtId="0" fontId="4" fillId="5" borderId="29" xfId="2" applyFont="1" applyFill="1" applyBorder="1" applyAlignment="1">
      <alignment horizontal="left" vertical="center" wrapText="1"/>
    </xf>
    <xf numFmtId="49" fontId="50" fillId="6" borderId="2" xfId="2" applyNumberFormat="1" applyFont="1" applyFill="1" applyBorder="1" applyAlignment="1">
      <alignment horizontal="right" vertical="center"/>
    </xf>
    <xf numFmtId="0" fontId="51" fillId="6" borderId="45" xfId="0" applyNumberFormat="1" applyFont="1" applyFill="1" applyBorder="1" applyAlignment="1">
      <alignment horizontal="right" vertical="center"/>
    </xf>
    <xf numFmtId="0" fontId="20" fillId="6" borderId="61" xfId="0" applyFont="1" applyFill="1" applyBorder="1" applyAlignment="1">
      <alignment wrapText="1"/>
    </xf>
    <xf numFmtId="0" fontId="20" fillId="6" borderId="60" xfId="0" quotePrefix="1" applyFont="1" applyFill="1" applyBorder="1" applyAlignment="1">
      <alignment wrapText="1"/>
    </xf>
    <xf numFmtId="0" fontId="4" fillId="2" borderId="127" xfId="0" applyFont="1" applyFill="1" applyBorder="1" applyAlignment="1">
      <alignment vertical="center" wrapText="1"/>
    </xf>
    <xf numFmtId="49" fontId="49" fillId="4" borderId="27" xfId="0" applyNumberFormat="1" applyFont="1" applyFill="1" applyBorder="1" applyAlignment="1">
      <alignment horizontal="right" vertical="center" wrapText="1"/>
    </xf>
    <xf numFmtId="0" fontId="20" fillId="4" borderId="62" xfId="0" applyFont="1" applyFill="1" applyBorder="1" applyAlignment="1">
      <alignment horizontal="left" vertical="center" wrapText="1"/>
    </xf>
    <xf numFmtId="49" fontId="52" fillId="0" borderId="89" xfId="6" applyNumberFormat="1" applyFont="1" applyBorder="1" applyAlignment="1">
      <alignment vertical="top"/>
    </xf>
    <xf numFmtId="0" fontId="52" fillId="0" borderId="89" xfId="6" applyFont="1" applyBorder="1" applyAlignment="1">
      <alignment vertical="top" wrapText="1"/>
    </xf>
    <xf numFmtId="14" fontId="53" fillId="0" borderId="89" xfId="6" applyNumberFormat="1" applyFont="1" applyBorder="1" applyAlignment="1">
      <alignment vertical="top" wrapText="1"/>
    </xf>
    <xf numFmtId="0" fontId="54" fillId="0" borderId="0" xfId="6" applyFont="1" applyFill="1" applyBorder="1"/>
    <xf numFmtId="0" fontId="54" fillId="0" borderId="0" xfId="6" applyFont="1" applyFill="1"/>
    <xf numFmtId="0" fontId="4" fillId="0" borderId="0" xfId="0" applyFont="1" applyAlignment="1">
      <alignment horizontal="left" vertical="top" wrapText="1"/>
    </xf>
    <xf numFmtId="0" fontId="4" fillId="8" borderId="89" xfId="0" applyFont="1" applyFill="1" applyBorder="1" applyAlignment="1">
      <alignment horizontal="center" vertical="top" wrapText="1"/>
    </xf>
    <xf numFmtId="14" fontId="0" fillId="8" borderId="89" xfId="0" applyNumberFormat="1" applyFill="1" applyBorder="1" applyAlignment="1">
      <alignment horizontal="left"/>
    </xf>
    <xf numFmtId="0" fontId="9" fillId="8" borderId="86" xfId="0" applyFont="1" applyFill="1" applyBorder="1" applyAlignment="1">
      <alignment horizontal="center" wrapText="1"/>
    </xf>
    <xf numFmtId="0" fontId="9" fillId="8" borderId="88" xfId="0" applyFont="1" applyFill="1" applyBorder="1" applyAlignment="1">
      <alignment horizontal="center" wrapText="1"/>
    </xf>
    <xf numFmtId="14" fontId="9" fillId="0" borderId="111" xfId="0" applyNumberFormat="1" applyFont="1" applyFill="1" applyBorder="1" applyAlignment="1">
      <alignment horizontal="center"/>
    </xf>
    <xf numFmtId="14" fontId="9" fillId="0" borderId="113" xfId="0" applyNumberFormat="1" applyFont="1" applyFill="1" applyBorder="1" applyAlignment="1">
      <alignment horizontal="center"/>
    </xf>
    <xf numFmtId="14" fontId="9" fillId="0" borderId="112" xfId="0" applyNumberFormat="1" applyFont="1" applyFill="1" applyBorder="1" applyAlignment="1">
      <alignment horizontal="center"/>
    </xf>
    <xf numFmtId="0" fontId="4" fillId="8" borderId="86" xfId="0" applyFont="1" applyFill="1" applyBorder="1" applyAlignment="1"/>
    <xf numFmtId="0" fontId="0" fillId="8" borderId="88" xfId="0" applyFill="1" applyBorder="1" applyAlignment="1"/>
    <xf numFmtId="0" fontId="4" fillId="8" borderId="86" xfId="0" applyFont="1" applyFill="1" applyBorder="1" applyAlignment="1">
      <alignment horizontal="left" wrapText="1"/>
    </xf>
    <xf numFmtId="0" fontId="0" fillId="8" borderId="87" xfId="0" applyFill="1" applyBorder="1" applyAlignment="1">
      <alignment horizontal="left" wrapText="1"/>
    </xf>
    <xf numFmtId="0" fontId="0" fillId="8" borderId="88" xfId="0" applyFill="1" applyBorder="1" applyAlignment="1">
      <alignment horizontal="left" wrapText="1"/>
    </xf>
    <xf numFmtId="14" fontId="0" fillId="8" borderId="86" xfId="0" applyNumberFormat="1" applyFill="1" applyBorder="1" applyAlignment="1">
      <alignment horizontal="left"/>
    </xf>
    <xf numFmtId="14" fontId="0" fillId="8" borderId="88" xfId="0" applyNumberFormat="1" applyFill="1" applyBorder="1" applyAlignment="1">
      <alignment horizontal="left"/>
    </xf>
    <xf numFmtId="0" fontId="4" fillId="8" borderId="86" xfId="0" applyFont="1" applyFill="1" applyBorder="1" applyAlignment="1">
      <alignment vertical="center" wrapText="1"/>
    </xf>
    <xf numFmtId="0" fontId="0" fillId="8" borderId="87" xfId="0" applyFill="1" applyBorder="1" applyAlignment="1">
      <alignment vertical="center" wrapText="1"/>
    </xf>
    <xf numFmtId="0" fontId="0" fillId="8" borderId="88" xfId="0" applyFill="1" applyBorder="1" applyAlignment="1">
      <alignment vertical="center" wrapText="1"/>
    </xf>
    <xf numFmtId="0" fontId="4" fillId="8" borderId="86" xfId="0" applyFont="1" applyFill="1" applyBorder="1" applyAlignment="1">
      <alignment wrapText="1"/>
    </xf>
    <xf numFmtId="0" fontId="0" fillId="8" borderId="87" xfId="0" applyFill="1" applyBorder="1" applyAlignment="1"/>
    <xf numFmtId="0" fontId="25" fillId="11" borderId="86" xfId="0" applyFont="1" applyFill="1" applyBorder="1" applyAlignment="1">
      <alignment horizontal="center"/>
    </xf>
    <xf numFmtId="0" fontId="25" fillId="11" borderId="88" xfId="0" applyFont="1" applyFill="1" applyBorder="1" applyAlignment="1">
      <alignment horizontal="center"/>
    </xf>
    <xf numFmtId="0" fontId="29" fillId="0" borderId="0" xfId="0" applyFont="1" applyAlignment="1">
      <alignment horizontal="left" vertical="center" wrapText="1"/>
    </xf>
    <xf numFmtId="0" fontId="4" fillId="8" borderId="89" xfId="0" applyFont="1" applyFill="1" applyBorder="1" applyAlignment="1">
      <alignment horizontal="center"/>
    </xf>
    <xf numFmtId="0" fontId="5" fillId="8" borderId="89" xfId="0" applyFont="1" applyFill="1" applyBorder="1" applyAlignment="1">
      <alignment horizontal="center"/>
    </xf>
    <xf numFmtId="0" fontId="5" fillId="8" borderId="89" xfId="0" applyFont="1" applyFill="1" applyBorder="1" applyAlignment="1">
      <alignment horizontal="left"/>
    </xf>
    <xf numFmtId="0" fontId="4" fillId="8" borderId="89" xfId="0" applyFont="1" applyFill="1" applyBorder="1" applyAlignment="1">
      <alignment horizontal="left"/>
    </xf>
    <xf numFmtId="0" fontId="4" fillId="9" borderId="92" xfId="0" applyFont="1" applyFill="1" applyBorder="1" applyAlignment="1">
      <alignment horizontal="left"/>
    </xf>
    <xf numFmtId="0" fontId="4" fillId="7" borderId="0" xfId="0" applyFont="1" applyFill="1" applyBorder="1" applyAlignment="1">
      <alignment horizontal="left" vertical="top" wrapText="1"/>
    </xf>
    <xf numFmtId="0" fontId="4" fillId="7" borderId="97" xfId="0" applyFont="1" applyFill="1" applyBorder="1" applyAlignment="1">
      <alignment horizontal="left" vertical="top" wrapText="1"/>
    </xf>
    <xf numFmtId="0" fontId="4" fillId="7" borderId="0" xfId="0" applyFont="1" applyFill="1" applyBorder="1" applyAlignment="1">
      <alignment horizontal="left" vertical="center" wrapText="1"/>
    </xf>
    <xf numFmtId="0" fontId="4" fillId="0" borderId="0" xfId="0" applyFont="1" applyFill="1" applyBorder="1" applyAlignment="1">
      <alignment horizontal="left" vertical="top" wrapText="1"/>
    </xf>
    <xf numFmtId="0" fontId="4" fillId="7" borderId="97" xfId="0" applyFont="1" applyFill="1" applyBorder="1" applyAlignment="1">
      <alignment horizontal="left" vertical="center" wrapText="1"/>
    </xf>
    <xf numFmtId="0" fontId="4" fillId="7" borderId="0" xfId="0" applyFont="1" applyFill="1" applyAlignment="1">
      <alignment horizontal="left" vertical="top" wrapText="1"/>
    </xf>
    <xf numFmtId="0" fontId="9" fillId="0" borderId="97" xfId="0" applyFont="1" applyFill="1" applyBorder="1" applyAlignment="1">
      <alignment horizontal="left" vertical="top" wrapText="1"/>
    </xf>
    <xf numFmtId="0" fontId="5" fillId="7" borderId="92" xfId="0" applyFont="1" applyFill="1" applyBorder="1" applyAlignment="1">
      <alignment horizontal="left" wrapText="1"/>
    </xf>
    <xf numFmtId="0" fontId="4" fillId="9" borderId="0" xfId="0" applyFont="1" applyFill="1" applyBorder="1" applyAlignment="1">
      <alignment horizontal="left" vertical="center" wrapText="1"/>
    </xf>
    <xf numFmtId="0" fontId="4" fillId="9" borderId="0" xfId="0" applyFont="1" applyFill="1" applyBorder="1" applyAlignment="1">
      <alignment horizontal="left" vertical="center"/>
    </xf>
    <xf numFmtId="0" fontId="7" fillId="0" borderId="86" xfId="0" applyFont="1" applyFill="1" applyBorder="1" applyAlignment="1">
      <alignment horizontal="left" vertical="top"/>
    </xf>
    <xf numFmtId="0" fontId="7" fillId="0" borderId="87" xfId="0" applyFont="1" applyFill="1" applyBorder="1" applyAlignment="1">
      <alignment horizontal="left" vertical="top"/>
    </xf>
    <xf numFmtId="0" fontId="7" fillId="0" borderId="88" xfId="0" applyFont="1" applyFill="1" applyBorder="1" applyAlignment="1">
      <alignment horizontal="left" vertical="top"/>
    </xf>
    <xf numFmtId="0" fontId="4" fillId="7" borderId="92" xfId="0" applyFont="1" applyFill="1" applyBorder="1" applyAlignment="1">
      <alignment horizontal="left" vertical="center" wrapText="1"/>
    </xf>
    <xf numFmtId="0" fontId="4" fillId="7" borderId="93" xfId="0" applyFont="1" applyFill="1" applyBorder="1" applyAlignment="1">
      <alignment horizontal="left" vertical="center" wrapText="1"/>
    </xf>
    <xf numFmtId="0" fontId="4" fillId="7" borderId="95" xfId="0" applyFont="1" applyFill="1" applyBorder="1" applyAlignment="1">
      <alignment horizontal="left" vertical="center" wrapText="1"/>
    </xf>
    <xf numFmtId="0" fontId="4" fillId="7" borderId="98" xfId="0" applyFont="1" applyFill="1" applyBorder="1" applyAlignment="1">
      <alignment horizontal="left" vertical="center" wrapText="1"/>
    </xf>
    <xf numFmtId="0" fontId="4" fillId="7" borderId="87" xfId="0" applyFont="1" applyFill="1" applyBorder="1" applyAlignment="1">
      <alignment horizontal="left" vertical="center" wrapText="1"/>
    </xf>
    <xf numFmtId="0" fontId="4" fillId="7" borderId="88" xfId="0" applyFont="1" applyFill="1" applyBorder="1" applyAlignment="1">
      <alignment horizontal="left" vertical="center" wrapText="1"/>
    </xf>
    <xf numFmtId="0" fontId="4" fillId="8" borderId="86" xfId="0" applyFont="1" applyFill="1" applyBorder="1" applyAlignment="1">
      <alignment horizontal="left" vertical="top" wrapText="1"/>
    </xf>
    <xf numFmtId="0" fontId="4" fillId="8" borderId="87" xfId="0" applyFont="1" applyFill="1" applyBorder="1" applyAlignment="1">
      <alignment horizontal="left" vertical="top"/>
    </xf>
    <xf numFmtId="0" fontId="4" fillId="8" borderId="88" xfId="0" applyFont="1" applyFill="1" applyBorder="1" applyAlignment="1">
      <alignment horizontal="left" vertical="top"/>
    </xf>
    <xf numFmtId="0" fontId="0" fillId="8" borderId="86" xfId="0" applyFill="1" applyBorder="1" applyAlignment="1">
      <alignment horizontal="left"/>
    </xf>
    <xf numFmtId="0" fontId="0" fillId="8" borderId="87" xfId="0" applyFill="1" applyBorder="1" applyAlignment="1">
      <alignment horizontal="left"/>
    </xf>
    <xf numFmtId="0" fontId="0" fillId="8" borderId="88" xfId="0" applyFill="1" applyBorder="1" applyAlignment="1">
      <alignment horizontal="left"/>
    </xf>
    <xf numFmtId="0" fontId="4" fillId="8" borderId="86" xfId="0" applyFont="1" applyFill="1" applyBorder="1" applyAlignment="1">
      <alignment horizontal="left"/>
    </xf>
    <xf numFmtId="0" fontId="4" fillId="8" borderId="88" xfId="0" applyFont="1" applyFill="1" applyBorder="1" applyAlignment="1">
      <alignment horizontal="left"/>
    </xf>
    <xf numFmtId="0" fontId="0" fillId="8" borderId="86" xfId="0" applyFill="1" applyBorder="1" applyAlignment="1">
      <alignment horizontal="left" wrapText="1"/>
    </xf>
    <xf numFmtId="0" fontId="5" fillId="2" borderId="51" xfId="0" applyFont="1" applyFill="1" applyBorder="1" applyAlignment="1" applyProtection="1">
      <alignment horizontal="center" vertical="center" textRotation="90" wrapText="1"/>
    </xf>
    <xf numFmtId="0" fontId="5" fillId="2" borderId="40" xfId="0" applyFont="1" applyFill="1" applyBorder="1" applyAlignment="1" applyProtection="1">
      <alignment horizontal="center" vertical="center" textRotation="90"/>
    </xf>
    <xf numFmtId="0" fontId="4" fillId="0" borderId="52" xfId="0" applyFont="1" applyBorder="1" applyAlignment="1" applyProtection="1">
      <alignment horizontal="center" vertical="center" textRotation="90"/>
    </xf>
    <xf numFmtId="0" fontId="5" fillId="4" borderId="51" xfId="0" applyFont="1" applyFill="1" applyBorder="1" applyAlignment="1" applyProtection="1">
      <alignment horizontal="center" vertical="center" textRotation="90" wrapText="1"/>
    </xf>
    <xf numFmtId="0" fontId="5" fillId="4" borderId="40" xfId="0" applyFont="1" applyFill="1" applyBorder="1" applyAlignment="1" applyProtection="1">
      <alignment horizontal="center" vertical="center" textRotation="90" wrapText="1"/>
    </xf>
    <xf numFmtId="0" fontId="5" fillId="4" borderId="52" xfId="0" applyFont="1" applyFill="1" applyBorder="1" applyAlignment="1" applyProtection="1">
      <alignment horizontal="center" vertical="center" textRotation="90" wrapText="1"/>
    </xf>
    <xf numFmtId="0" fontId="5" fillId="6" borderId="51" xfId="0" applyFont="1" applyFill="1" applyBorder="1" applyAlignment="1" applyProtection="1">
      <alignment horizontal="center" vertical="center" textRotation="90" wrapText="1"/>
    </xf>
    <xf numFmtId="0" fontId="5" fillId="6" borderId="40" xfId="0" applyFont="1" applyFill="1" applyBorder="1" applyAlignment="1" applyProtection="1">
      <alignment horizontal="center" vertical="center" textRotation="90" wrapText="1"/>
    </xf>
    <xf numFmtId="0" fontId="5" fillId="6" borderId="52" xfId="0" applyFont="1" applyFill="1" applyBorder="1" applyAlignment="1" applyProtection="1">
      <alignment horizontal="center" vertical="center" textRotation="90" wrapText="1"/>
    </xf>
    <xf numFmtId="0" fontId="5" fillId="2" borderId="51" xfId="0" applyFont="1" applyFill="1" applyBorder="1" applyAlignment="1">
      <alignment horizontal="center" vertical="center" textRotation="90" wrapText="1"/>
    </xf>
    <xf numFmtId="0" fontId="5" fillId="2" borderId="40" xfId="0" applyFont="1" applyFill="1" applyBorder="1" applyAlignment="1">
      <alignment horizontal="center" vertical="center" textRotation="90"/>
    </xf>
    <xf numFmtId="0" fontId="4" fillId="0" borderId="52" xfId="0" applyFont="1" applyBorder="1" applyAlignment="1">
      <alignment horizontal="center" vertical="center" textRotation="90"/>
    </xf>
    <xf numFmtId="0" fontId="5" fillId="4" borderId="51" xfId="0" applyFont="1" applyFill="1" applyBorder="1" applyAlignment="1">
      <alignment horizontal="center" vertical="center" textRotation="90" wrapText="1"/>
    </xf>
    <xf numFmtId="0" fontId="5" fillId="4" borderId="40" xfId="0" applyFont="1" applyFill="1" applyBorder="1" applyAlignment="1">
      <alignment horizontal="center" vertical="center" textRotation="90" wrapText="1"/>
    </xf>
    <xf numFmtId="0" fontId="5" fillId="4" borderId="52" xfId="0" applyFont="1" applyFill="1" applyBorder="1" applyAlignment="1">
      <alignment horizontal="center" vertical="center" textRotation="90" wrapText="1"/>
    </xf>
    <xf numFmtId="0" fontId="5" fillId="6" borderId="51" xfId="0" applyFont="1" applyFill="1" applyBorder="1" applyAlignment="1">
      <alignment horizontal="center" vertical="center" textRotation="90" wrapText="1"/>
    </xf>
    <xf numFmtId="0" fontId="5" fillId="6" borderId="40" xfId="0" applyFont="1" applyFill="1" applyBorder="1" applyAlignment="1">
      <alignment horizontal="center" vertical="center" textRotation="90" wrapText="1"/>
    </xf>
    <xf numFmtId="0" fontId="5" fillId="6" borderId="52" xfId="0" applyFont="1" applyFill="1" applyBorder="1" applyAlignment="1">
      <alignment horizontal="center" vertical="center" textRotation="90" wrapText="1"/>
    </xf>
    <xf numFmtId="0" fontId="5" fillId="0" borderId="51" xfId="0" applyFont="1" applyBorder="1" applyAlignment="1">
      <alignment horizontal="center" vertical="center" textRotation="90" wrapText="1"/>
    </xf>
    <xf numFmtId="0" fontId="5" fillId="0" borderId="40" xfId="0" applyFont="1" applyBorder="1" applyAlignment="1">
      <alignment horizontal="center" vertical="center" textRotation="90" wrapText="1"/>
    </xf>
    <xf numFmtId="0" fontId="5" fillId="0" borderId="52" xfId="0" applyFont="1" applyBorder="1" applyAlignment="1">
      <alignment horizontal="center" vertical="center" textRotation="90" wrapText="1"/>
    </xf>
    <xf numFmtId="0" fontId="16" fillId="0" borderId="51" xfId="0" applyFont="1" applyBorder="1" applyAlignment="1">
      <alignment horizontal="center" vertical="center" wrapText="1"/>
    </xf>
    <xf numFmtId="0" fontId="7" fillId="0" borderId="40" xfId="0" applyFont="1" applyBorder="1" applyAlignment="1">
      <alignment horizontal="center" vertical="center"/>
    </xf>
    <xf numFmtId="0" fontId="7" fillId="0" borderId="51" xfId="0" applyFont="1" applyBorder="1" applyAlignment="1">
      <alignment vertical="center" wrapText="1"/>
    </xf>
    <xf numFmtId="0" fontId="7" fillId="0" borderId="40" xfId="0" applyFont="1" applyBorder="1" applyAlignment="1">
      <alignment vertical="center" wrapText="1"/>
    </xf>
    <xf numFmtId="0" fontId="7" fillId="0" borderId="52" xfId="0" applyFont="1" applyBorder="1" applyAlignment="1">
      <alignment vertical="center" wrapText="1"/>
    </xf>
    <xf numFmtId="0" fontId="6" fillId="0" borderId="51" xfId="0" applyFont="1" applyBorder="1" applyAlignment="1">
      <alignment horizontal="center" vertical="center" wrapText="1"/>
    </xf>
    <xf numFmtId="0" fontId="0" fillId="0" borderId="40" xfId="0" applyBorder="1" applyAlignment="1">
      <alignment horizontal="center" vertical="center" wrapText="1"/>
    </xf>
    <xf numFmtId="0" fontId="0" fillId="0" borderId="52" xfId="0" applyBorder="1" applyAlignment="1">
      <alignment horizontal="center" vertical="center" wrapText="1"/>
    </xf>
    <xf numFmtId="0" fontId="0" fillId="0" borderId="52" xfId="0" applyBorder="1" applyAlignment="1">
      <alignment horizontal="center" vertical="center" textRotation="90"/>
    </xf>
    <xf numFmtId="0" fontId="10" fillId="0" borderId="0" xfId="0" applyFont="1" applyAlignment="1">
      <alignment wrapText="1"/>
    </xf>
    <xf numFmtId="0" fontId="4" fillId="7" borderId="0" xfId="0" applyFont="1" applyFill="1" applyAlignment="1">
      <alignment horizontal="left" wrapText="1" indent="1"/>
    </xf>
    <xf numFmtId="0" fontId="4" fillId="0" borderId="0" xfId="0" applyFont="1" applyAlignment="1">
      <alignment horizontal="left" wrapText="1" indent="1"/>
    </xf>
    <xf numFmtId="0" fontId="5" fillId="5" borderId="71" xfId="0" applyFont="1" applyFill="1" applyBorder="1" applyAlignment="1">
      <alignment horizontal="center" vertical="center" wrapText="1"/>
    </xf>
    <xf numFmtId="0" fontId="5" fillId="5" borderId="72" xfId="0" applyFont="1" applyFill="1" applyBorder="1" applyAlignment="1">
      <alignment horizontal="center" vertical="center" wrapText="1"/>
    </xf>
    <xf numFmtId="0" fontId="5" fillId="4" borderId="51" xfId="2" applyFont="1" applyFill="1" applyBorder="1" applyAlignment="1">
      <alignment horizontal="center" vertical="center" textRotation="90" wrapText="1"/>
    </xf>
    <xf numFmtId="0" fontId="5" fillId="4" borderId="40" xfId="2" applyFont="1" applyFill="1" applyBorder="1" applyAlignment="1">
      <alignment horizontal="center" vertical="center" textRotation="90" wrapText="1"/>
    </xf>
    <xf numFmtId="0" fontId="5" fillId="4" borderId="52" xfId="2" applyFont="1" applyFill="1" applyBorder="1" applyAlignment="1">
      <alignment horizontal="center" vertical="center" textRotation="90" wrapText="1"/>
    </xf>
    <xf numFmtId="0" fontId="5" fillId="2" borderId="51" xfId="2" applyFont="1" applyFill="1" applyBorder="1" applyAlignment="1">
      <alignment horizontal="center" vertical="center" textRotation="90" wrapText="1"/>
    </xf>
    <xf numFmtId="0" fontId="5" fillId="2" borderId="40" xfId="2" applyFont="1" applyFill="1" applyBorder="1" applyAlignment="1">
      <alignment horizontal="center" vertical="center" textRotation="90"/>
    </xf>
    <xf numFmtId="0" fontId="4" fillId="0" borderId="52" xfId="2" applyBorder="1" applyAlignment="1">
      <alignment horizontal="center" vertical="center" textRotation="90"/>
    </xf>
    <xf numFmtId="0" fontId="16" fillId="0" borderId="51" xfId="2" applyFont="1" applyBorder="1" applyAlignment="1">
      <alignment horizontal="center" vertical="center" wrapText="1"/>
    </xf>
    <xf numFmtId="0" fontId="7" fillId="0" borderId="40" xfId="2" applyFont="1" applyBorder="1" applyAlignment="1">
      <alignment horizontal="center" vertical="center"/>
    </xf>
    <xf numFmtId="0" fontId="7" fillId="0" borderId="51" xfId="2" applyFont="1" applyBorder="1" applyAlignment="1">
      <alignment vertical="center" wrapText="1"/>
    </xf>
    <xf numFmtId="0" fontId="7" fillId="0" borderId="40" xfId="2" applyFont="1" applyBorder="1" applyAlignment="1">
      <alignment vertical="center" wrapText="1"/>
    </xf>
    <xf numFmtId="0" fontId="7" fillId="0" borderId="52" xfId="2" applyFont="1" applyBorder="1" applyAlignment="1">
      <alignment vertical="center" wrapText="1"/>
    </xf>
    <xf numFmtId="0" fontId="5" fillId="5" borderId="71" xfId="2" applyFont="1" applyFill="1" applyBorder="1" applyAlignment="1">
      <alignment horizontal="center" vertical="center" wrapText="1"/>
    </xf>
    <xf numFmtId="0" fontId="5" fillId="5" borderId="72" xfId="2" applyFont="1" applyFill="1" applyBorder="1" applyAlignment="1">
      <alignment horizontal="center" vertical="center" wrapText="1"/>
    </xf>
    <xf numFmtId="0" fontId="5" fillId="6" borderId="51" xfId="2" applyFont="1" applyFill="1" applyBorder="1" applyAlignment="1">
      <alignment horizontal="center" vertical="center" textRotation="90" wrapText="1"/>
    </xf>
    <xf numFmtId="0" fontId="5" fillId="6" borderId="40" xfId="2" applyFont="1" applyFill="1" applyBorder="1" applyAlignment="1">
      <alignment horizontal="center" vertical="center" textRotation="90" wrapText="1"/>
    </xf>
    <xf numFmtId="0" fontId="5" fillId="0" borderId="51" xfId="2" applyFont="1" applyBorder="1" applyAlignment="1">
      <alignment horizontal="center" vertical="center" textRotation="90" wrapText="1"/>
    </xf>
    <xf numFmtId="0" fontId="5" fillId="0" borderId="40" xfId="2" applyFont="1" applyBorder="1" applyAlignment="1">
      <alignment horizontal="center" vertical="center" textRotation="90" wrapText="1"/>
    </xf>
    <xf numFmtId="0" fontId="5" fillId="0" borderId="52" xfId="2" applyFont="1" applyBorder="1" applyAlignment="1">
      <alignment horizontal="center" vertical="center" textRotation="90" wrapText="1"/>
    </xf>
    <xf numFmtId="0" fontId="37" fillId="0" borderId="89" xfId="6" applyFont="1" applyFill="1" applyBorder="1" applyAlignment="1">
      <alignment horizontal="center" vertical="center" wrapText="1"/>
    </xf>
    <xf numFmtId="0" fontId="38" fillId="0" borderId="89" xfId="6" applyFont="1" applyBorder="1" applyAlignment="1">
      <alignment horizontal="center"/>
    </xf>
    <xf numFmtId="0" fontId="37" fillId="13" borderId="89" xfId="6" applyFont="1" applyFill="1" applyBorder="1" applyAlignment="1">
      <alignment horizontal="left"/>
    </xf>
    <xf numFmtId="0" fontId="37" fillId="13" borderId="89" xfId="6" applyFont="1" applyFill="1" applyBorder="1" applyAlignment="1">
      <alignment horizontal="center" vertical="center" wrapText="1"/>
    </xf>
    <xf numFmtId="0" fontId="38" fillId="0" borderId="89" xfId="6" applyFont="1" applyBorder="1" applyAlignment="1">
      <alignment horizontal="left" vertical="top" wrapText="1"/>
    </xf>
    <xf numFmtId="0" fontId="39" fillId="0" borderId="89" xfId="6" applyFont="1" applyBorder="1" applyAlignment="1">
      <alignment horizontal="left" vertical="top" wrapText="1"/>
    </xf>
    <xf numFmtId="0" fontId="40" fillId="0" borderId="89" xfId="6" applyFont="1" applyBorder="1" applyAlignment="1">
      <alignment horizontal="right" vertical="center" wrapText="1" readingOrder="1"/>
    </xf>
  </cellXfs>
  <cellStyles count="7">
    <cellStyle name="Normal 2" xfId="4"/>
    <cellStyle name="Standard" xfId="0" builtinId="0"/>
    <cellStyle name="Standard 2" xfId="1"/>
    <cellStyle name="Standard 2 2" xfId="3"/>
    <cellStyle name="Standard 2 2 2" xfId="6"/>
    <cellStyle name="Standard 3" xfId="2"/>
    <cellStyle name="Standard 4" xfId="5"/>
  </cellStyles>
  <dxfs count="0"/>
  <tableStyles count="0" defaultTableStyle="TableStyleMedium9" defaultPivotStyle="PivotStyleLight16"/>
  <colors>
    <mruColors>
      <color rgb="FFC4DCF8"/>
      <color rgb="FFA8CAF4"/>
      <color rgb="FFFF0000"/>
      <color rgb="FFFFCC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247650</xdr:colOff>
      <xdr:row>53</xdr:row>
      <xdr:rowOff>48184</xdr:rowOff>
    </xdr:from>
    <xdr:to>
      <xdr:col>2</xdr:col>
      <xdr:colOff>97650</xdr:colOff>
      <xdr:row>54</xdr:row>
      <xdr:rowOff>42449</xdr:rowOff>
    </xdr:to>
    <xdr:sp macro="" textlink="">
      <xdr:nvSpPr>
        <xdr:cNvPr id="90" name="Rechteck 89"/>
        <xdr:cNvSpPr/>
      </xdr:nvSpPr>
      <xdr:spPr>
        <a:xfrm>
          <a:off x="516591" y="12632390"/>
          <a:ext cx="612000" cy="2520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3</xdr:col>
      <xdr:colOff>478631</xdr:colOff>
      <xdr:row>53</xdr:row>
      <xdr:rowOff>38659</xdr:rowOff>
    </xdr:from>
    <xdr:to>
      <xdr:col>5</xdr:col>
      <xdr:colOff>339837</xdr:colOff>
      <xdr:row>54</xdr:row>
      <xdr:rowOff>32924</xdr:rowOff>
    </xdr:to>
    <xdr:sp macro="" textlink="">
      <xdr:nvSpPr>
        <xdr:cNvPr id="91" name="Rechteck 90"/>
        <xdr:cNvSpPr/>
      </xdr:nvSpPr>
      <xdr:spPr>
        <a:xfrm>
          <a:off x="2312194" y="13921347"/>
          <a:ext cx="611299" cy="25620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2</xdr:col>
      <xdr:colOff>272482</xdr:colOff>
      <xdr:row>52</xdr:row>
      <xdr:rowOff>110777</xdr:rowOff>
    </xdr:from>
    <xdr:to>
      <xdr:col>3</xdr:col>
      <xdr:colOff>301057</xdr:colOff>
      <xdr:row>53</xdr:row>
      <xdr:rowOff>71424</xdr:rowOff>
    </xdr:to>
    <xdr:sp macro="" textlink="">
      <xdr:nvSpPr>
        <xdr:cNvPr id="92" name="Rechteck 91"/>
        <xdr:cNvSpPr/>
      </xdr:nvSpPr>
      <xdr:spPr>
        <a:xfrm>
          <a:off x="1296420" y="13660090"/>
          <a:ext cx="838200" cy="294022"/>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r>
            <a:rPr lang="de-DE" sz="1000">
              <a:solidFill>
                <a:schemeClr val="tx1"/>
              </a:solidFill>
            </a:rPr>
            <a:t>TEL_REQU</a:t>
          </a:r>
        </a:p>
      </xdr:txBody>
    </xdr:sp>
    <xdr:clientData/>
  </xdr:twoCellAnchor>
  <xdr:twoCellAnchor>
    <xdr:from>
      <xdr:col>2</xdr:col>
      <xdr:colOff>272823</xdr:colOff>
      <xdr:row>54</xdr:row>
      <xdr:rowOff>16886</xdr:rowOff>
    </xdr:from>
    <xdr:to>
      <xdr:col>3</xdr:col>
      <xdr:colOff>301398</xdr:colOff>
      <xdr:row>55</xdr:row>
      <xdr:rowOff>22357</xdr:rowOff>
    </xdr:to>
    <xdr:sp macro="" textlink="">
      <xdr:nvSpPr>
        <xdr:cNvPr id="93" name="Rechteck 92"/>
        <xdr:cNvSpPr/>
      </xdr:nvSpPr>
      <xdr:spPr>
        <a:xfrm>
          <a:off x="1296761" y="14161511"/>
          <a:ext cx="838200" cy="255502"/>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IPSRDATA</a:t>
          </a:r>
        </a:p>
      </xdr:txBody>
    </xdr:sp>
    <xdr:clientData/>
  </xdr:twoCellAnchor>
  <xdr:twoCellAnchor>
    <xdr:from>
      <xdr:col>2</xdr:col>
      <xdr:colOff>110218</xdr:colOff>
      <xdr:row>53</xdr:row>
      <xdr:rowOff>233302</xdr:rowOff>
    </xdr:from>
    <xdr:to>
      <xdr:col>3</xdr:col>
      <xdr:colOff>434068</xdr:colOff>
      <xdr:row>53</xdr:row>
      <xdr:rowOff>233302</xdr:rowOff>
    </xdr:to>
    <xdr:cxnSp macro="">
      <xdr:nvCxnSpPr>
        <xdr:cNvPr id="95" name="Gerade Verbindung mit Pfeil 94"/>
        <xdr:cNvCxnSpPr/>
      </xdr:nvCxnSpPr>
      <xdr:spPr>
        <a:xfrm flipH="1">
          <a:off x="1141159" y="12783890"/>
          <a:ext cx="1130674"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104775</xdr:colOff>
      <xdr:row>53</xdr:row>
      <xdr:rowOff>144496</xdr:rowOff>
    </xdr:from>
    <xdr:to>
      <xdr:col>3</xdr:col>
      <xdr:colOff>428625</xdr:colOff>
      <xdr:row>53</xdr:row>
      <xdr:rowOff>144496</xdr:rowOff>
    </xdr:to>
    <xdr:cxnSp macro="">
      <xdr:nvCxnSpPr>
        <xdr:cNvPr id="96" name="Gerade Verbindung mit Pfeil 95"/>
        <xdr:cNvCxnSpPr/>
      </xdr:nvCxnSpPr>
      <xdr:spPr>
        <a:xfrm flipH="1">
          <a:off x="1135716" y="12695084"/>
          <a:ext cx="1130674"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252629</xdr:colOff>
      <xdr:row>58</xdr:row>
      <xdr:rowOff>226923</xdr:rowOff>
    </xdr:from>
    <xdr:to>
      <xdr:col>2</xdr:col>
      <xdr:colOff>102629</xdr:colOff>
      <xdr:row>59</xdr:row>
      <xdr:rowOff>232394</xdr:rowOff>
    </xdr:to>
    <xdr:sp macro="" textlink="">
      <xdr:nvSpPr>
        <xdr:cNvPr id="97" name="Rechteck 96"/>
        <xdr:cNvSpPr/>
      </xdr:nvSpPr>
      <xdr:spPr>
        <a:xfrm>
          <a:off x="514567" y="15216892"/>
          <a:ext cx="612000" cy="25550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3</xdr:col>
      <xdr:colOff>484310</xdr:colOff>
      <xdr:row>58</xdr:row>
      <xdr:rowOff>226580</xdr:rowOff>
    </xdr:from>
    <xdr:to>
      <xdr:col>5</xdr:col>
      <xdr:colOff>345516</xdr:colOff>
      <xdr:row>59</xdr:row>
      <xdr:rowOff>232051</xdr:rowOff>
    </xdr:to>
    <xdr:sp macro="" textlink="">
      <xdr:nvSpPr>
        <xdr:cNvPr id="98" name="Rechteck 97"/>
        <xdr:cNvSpPr/>
      </xdr:nvSpPr>
      <xdr:spPr>
        <a:xfrm>
          <a:off x="2322075" y="13886551"/>
          <a:ext cx="612000" cy="2520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2</xdr:col>
      <xdr:colOff>278161</xdr:colOff>
      <xdr:row>57</xdr:row>
      <xdr:rowOff>226028</xdr:rowOff>
    </xdr:from>
    <xdr:to>
      <xdr:col>3</xdr:col>
      <xdr:colOff>306736</xdr:colOff>
      <xdr:row>58</xdr:row>
      <xdr:rowOff>220293</xdr:rowOff>
    </xdr:to>
    <xdr:sp macro="" textlink="">
      <xdr:nvSpPr>
        <xdr:cNvPr id="99" name="Rechteck 98"/>
        <xdr:cNvSpPr/>
      </xdr:nvSpPr>
      <xdr:spPr>
        <a:xfrm>
          <a:off x="1302099" y="14954059"/>
          <a:ext cx="838200" cy="256203"/>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TRIG_PNT</a:t>
          </a:r>
        </a:p>
      </xdr:txBody>
    </xdr:sp>
    <xdr:clientData/>
  </xdr:twoCellAnchor>
  <xdr:twoCellAnchor>
    <xdr:from>
      <xdr:col>2</xdr:col>
      <xdr:colOff>290408</xdr:colOff>
      <xdr:row>59</xdr:row>
      <xdr:rowOff>192479</xdr:rowOff>
    </xdr:from>
    <xdr:to>
      <xdr:col>3</xdr:col>
      <xdr:colOff>318983</xdr:colOff>
      <xdr:row>60</xdr:row>
      <xdr:rowOff>186743</xdr:rowOff>
    </xdr:to>
    <xdr:sp macro="" textlink="">
      <xdr:nvSpPr>
        <xdr:cNvPr id="100" name="Rechteck 99"/>
        <xdr:cNvSpPr/>
      </xdr:nvSpPr>
      <xdr:spPr>
        <a:xfrm>
          <a:off x="1314346" y="15432479"/>
          <a:ext cx="838200" cy="256202"/>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TRIG_P_R</a:t>
          </a:r>
        </a:p>
      </xdr:txBody>
    </xdr:sp>
    <xdr:clientData/>
  </xdr:twoCellAnchor>
  <xdr:twoCellAnchor>
    <xdr:from>
      <xdr:col>2</xdr:col>
      <xdr:colOff>127803</xdr:colOff>
      <xdr:row>59</xdr:row>
      <xdr:rowOff>151158</xdr:rowOff>
    </xdr:from>
    <xdr:to>
      <xdr:col>3</xdr:col>
      <xdr:colOff>451653</xdr:colOff>
      <xdr:row>59</xdr:row>
      <xdr:rowOff>151158</xdr:rowOff>
    </xdr:to>
    <xdr:cxnSp macro="">
      <xdr:nvCxnSpPr>
        <xdr:cNvPr id="101" name="Gerade Verbindung mit Pfeil 100"/>
        <xdr:cNvCxnSpPr/>
      </xdr:nvCxnSpPr>
      <xdr:spPr>
        <a:xfrm flipH="1">
          <a:off x="1158744" y="14057658"/>
          <a:ext cx="1130674"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122360</xdr:colOff>
      <xdr:row>59</xdr:row>
      <xdr:rowOff>62352</xdr:rowOff>
    </xdr:from>
    <xdr:to>
      <xdr:col>3</xdr:col>
      <xdr:colOff>446210</xdr:colOff>
      <xdr:row>59</xdr:row>
      <xdr:rowOff>62352</xdr:rowOff>
    </xdr:to>
    <xdr:cxnSp macro="">
      <xdr:nvCxnSpPr>
        <xdr:cNvPr id="102" name="Gerade Verbindung mit Pfeil 101"/>
        <xdr:cNvCxnSpPr/>
      </xdr:nvCxnSpPr>
      <xdr:spPr>
        <a:xfrm flipH="1">
          <a:off x="1153301" y="13968852"/>
          <a:ext cx="1130674"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522954</xdr:colOff>
      <xdr:row>53</xdr:row>
      <xdr:rowOff>47602</xdr:rowOff>
    </xdr:from>
    <xdr:to>
      <xdr:col>7</xdr:col>
      <xdr:colOff>372954</xdr:colOff>
      <xdr:row>54</xdr:row>
      <xdr:rowOff>41867</xdr:rowOff>
    </xdr:to>
    <xdr:sp macro="" textlink="">
      <xdr:nvSpPr>
        <xdr:cNvPr id="103" name="Rechteck 102"/>
        <xdr:cNvSpPr/>
      </xdr:nvSpPr>
      <xdr:spPr>
        <a:xfrm>
          <a:off x="3868610" y="13930290"/>
          <a:ext cx="612000" cy="25620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9</xdr:col>
      <xdr:colOff>671505</xdr:colOff>
      <xdr:row>53</xdr:row>
      <xdr:rowOff>38077</xdr:rowOff>
    </xdr:from>
    <xdr:to>
      <xdr:col>10</xdr:col>
      <xdr:colOff>521505</xdr:colOff>
      <xdr:row>54</xdr:row>
      <xdr:rowOff>32342</xdr:rowOff>
    </xdr:to>
    <xdr:sp macro="" textlink="">
      <xdr:nvSpPr>
        <xdr:cNvPr id="104" name="Rechteck 103"/>
        <xdr:cNvSpPr/>
      </xdr:nvSpPr>
      <xdr:spPr>
        <a:xfrm>
          <a:off x="5695943" y="13920765"/>
          <a:ext cx="612000" cy="25620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7</xdr:col>
      <xdr:colOff>535880</xdr:colOff>
      <xdr:row>52</xdr:row>
      <xdr:rowOff>100669</xdr:rowOff>
    </xdr:from>
    <xdr:to>
      <xdr:col>9</xdr:col>
      <xdr:colOff>414061</xdr:colOff>
      <xdr:row>53</xdr:row>
      <xdr:rowOff>61316</xdr:rowOff>
    </xdr:to>
    <xdr:sp macro="" textlink="">
      <xdr:nvSpPr>
        <xdr:cNvPr id="105" name="Rechteck 104"/>
        <xdr:cNvSpPr/>
      </xdr:nvSpPr>
      <xdr:spPr>
        <a:xfrm>
          <a:off x="4648439" y="12393522"/>
          <a:ext cx="797063" cy="252000"/>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SEQ_REQU</a:t>
          </a:r>
        </a:p>
      </xdr:txBody>
    </xdr:sp>
    <xdr:clientData/>
  </xdr:twoCellAnchor>
  <xdr:twoCellAnchor>
    <xdr:from>
      <xdr:col>7</xdr:col>
      <xdr:colOff>524315</xdr:colOff>
      <xdr:row>54</xdr:row>
      <xdr:rowOff>16303</xdr:rowOff>
    </xdr:from>
    <xdr:to>
      <xdr:col>9</xdr:col>
      <xdr:colOff>402496</xdr:colOff>
      <xdr:row>55</xdr:row>
      <xdr:rowOff>21774</xdr:rowOff>
    </xdr:to>
    <xdr:sp macro="" textlink="">
      <xdr:nvSpPr>
        <xdr:cNvPr id="106" name="Rechteck 105"/>
        <xdr:cNvSpPr/>
      </xdr:nvSpPr>
      <xdr:spPr>
        <a:xfrm>
          <a:off x="4631971" y="14160928"/>
          <a:ext cx="794963" cy="255502"/>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IPSRDATA</a:t>
          </a:r>
        </a:p>
      </xdr:txBody>
    </xdr:sp>
    <xdr:clientData/>
  </xdr:twoCellAnchor>
  <xdr:twoCellAnchor>
    <xdr:from>
      <xdr:col>7</xdr:col>
      <xdr:colOff>409334</xdr:colOff>
      <xdr:row>53</xdr:row>
      <xdr:rowOff>232719</xdr:rowOff>
    </xdr:from>
    <xdr:to>
      <xdr:col>9</xdr:col>
      <xdr:colOff>579318</xdr:colOff>
      <xdr:row>53</xdr:row>
      <xdr:rowOff>232719</xdr:rowOff>
    </xdr:to>
    <xdr:cxnSp macro="">
      <xdr:nvCxnSpPr>
        <xdr:cNvPr id="107" name="Gerade Verbindung mit Pfeil 106"/>
        <xdr:cNvCxnSpPr/>
      </xdr:nvCxnSpPr>
      <xdr:spPr>
        <a:xfrm flipH="1">
          <a:off x="4521893" y="12816925"/>
          <a:ext cx="1088866"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403891</xdr:colOff>
      <xdr:row>53</xdr:row>
      <xdr:rowOff>143913</xdr:rowOff>
    </xdr:from>
    <xdr:to>
      <xdr:col>9</xdr:col>
      <xdr:colOff>573875</xdr:colOff>
      <xdr:row>53</xdr:row>
      <xdr:rowOff>143913</xdr:rowOff>
    </xdr:to>
    <xdr:cxnSp macro="">
      <xdr:nvCxnSpPr>
        <xdr:cNvPr id="108" name="Gerade Verbindung mit Pfeil 107"/>
        <xdr:cNvCxnSpPr/>
      </xdr:nvCxnSpPr>
      <xdr:spPr>
        <a:xfrm flipH="1">
          <a:off x="4516450" y="12728119"/>
          <a:ext cx="1088866"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540805</xdr:colOff>
      <xdr:row>73</xdr:row>
      <xdr:rowOff>187217</xdr:rowOff>
    </xdr:from>
    <xdr:to>
      <xdr:col>7</xdr:col>
      <xdr:colOff>390805</xdr:colOff>
      <xdr:row>74</xdr:row>
      <xdr:rowOff>207095</xdr:rowOff>
    </xdr:to>
    <xdr:sp macro="" textlink="">
      <xdr:nvSpPr>
        <xdr:cNvPr id="109" name="Rechteck 108"/>
        <xdr:cNvSpPr/>
      </xdr:nvSpPr>
      <xdr:spPr>
        <a:xfrm>
          <a:off x="3886461" y="19427717"/>
          <a:ext cx="612000" cy="269909"/>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9</xdr:col>
      <xdr:colOff>673087</xdr:colOff>
      <xdr:row>73</xdr:row>
      <xdr:rowOff>180068</xdr:rowOff>
    </xdr:from>
    <xdr:to>
      <xdr:col>10</xdr:col>
      <xdr:colOff>523087</xdr:colOff>
      <xdr:row>74</xdr:row>
      <xdr:rowOff>199946</xdr:rowOff>
    </xdr:to>
    <xdr:sp macro="" textlink="">
      <xdr:nvSpPr>
        <xdr:cNvPr id="110" name="Rechteck 109"/>
        <xdr:cNvSpPr/>
      </xdr:nvSpPr>
      <xdr:spPr>
        <a:xfrm>
          <a:off x="5697525" y="19420568"/>
          <a:ext cx="612000" cy="269909"/>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7</xdr:col>
      <xdr:colOff>525157</xdr:colOff>
      <xdr:row>72</xdr:row>
      <xdr:rowOff>205921</xdr:rowOff>
    </xdr:from>
    <xdr:to>
      <xdr:col>9</xdr:col>
      <xdr:colOff>402646</xdr:colOff>
      <xdr:row>73</xdr:row>
      <xdr:rowOff>206590</xdr:rowOff>
    </xdr:to>
    <xdr:sp macro="" textlink="">
      <xdr:nvSpPr>
        <xdr:cNvPr id="111" name="Rechteck 110"/>
        <xdr:cNvSpPr/>
      </xdr:nvSpPr>
      <xdr:spPr>
        <a:xfrm>
          <a:off x="4632813" y="19196390"/>
          <a:ext cx="794271" cy="250700"/>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SPS_DATA</a:t>
          </a:r>
        </a:p>
      </xdr:txBody>
    </xdr:sp>
    <xdr:clientData/>
  </xdr:twoCellAnchor>
  <xdr:twoCellAnchor>
    <xdr:from>
      <xdr:col>7</xdr:col>
      <xdr:colOff>539785</xdr:colOff>
      <xdr:row>74</xdr:row>
      <xdr:rowOff>166005</xdr:rowOff>
    </xdr:from>
    <xdr:to>
      <xdr:col>9</xdr:col>
      <xdr:colOff>417274</xdr:colOff>
      <xdr:row>75</xdr:row>
      <xdr:rowOff>179480</xdr:rowOff>
    </xdr:to>
    <xdr:sp macro="" textlink="">
      <xdr:nvSpPr>
        <xdr:cNvPr id="112" name="Rechteck 111"/>
        <xdr:cNvSpPr/>
      </xdr:nvSpPr>
      <xdr:spPr>
        <a:xfrm>
          <a:off x="4647441" y="19656536"/>
          <a:ext cx="794271" cy="263507"/>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SPS_DA_R</a:t>
          </a:r>
        </a:p>
      </xdr:txBody>
    </xdr:sp>
    <xdr:clientData/>
  </xdr:twoCellAnchor>
  <xdr:twoCellAnchor>
    <xdr:from>
      <xdr:col>7</xdr:col>
      <xdr:colOff>455760</xdr:colOff>
      <xdr:row>74</xdr:row>
      <xdr:rowOff>78430</xdr:rowOff>
    </xdr:from>
    <xdr:to>
      <xdr:col>9</xdr:col>
      <xdr:colOff>628524</xdr:colOff>
      <xdr:row>74</xdr:row>
      <xdr:rowOff>78430</xdr:rowOff>
    </xdr:to>
    <xdr:cxnSp macro="">
      <xdr:nvCxnSpPr>
        <xdr:cNvPr id="113" name="Gerade Verbindung mit Pfeil 112"/>
        <xdr:cNvCxnSpPr/>
      </xdr:nvCxnSpPr>
      <xdr:spPr>
        <a:xfrm flipH="1">
          <a:off x="4568319" y="19330136"/>
          <a:ext cx="1091646"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469367</xdr:colOff>
      <xdr:row>73</xdr:row>
      <xdr:rowOff>314595</xdr:rowOff>
    </xdr:from>
    <xdr:to>
      <xdr:col>9</xdr:col>
      <xdr:colOff>642131</xdr:colOff>
      <xdr:row>73</xdr:row>
      <xdr:rowOff>314595</xdr:rowOff>
    </xdr:to>
    <xdr:cxnSp macro="">
      <xdr:nvCxnSpPr>
        <xdr:cNvPr id="114" name="Gerade Verbindung mit Pfeil 113"/>
        <xdr:cNvCxnSpPr/>
      </xdr:nvCxnSpPr>
      <xdr:spPr>
        <a:xfrm flipH="1">
          <a:off x="4581926" y="19241330"/>
          <a:ext cx="1091646"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482566</xdr:colOff>
      <xdr:row>67</xdr:row>
      <xdr:rowOff>236506</xdr:rowOff>
    </xdr:from>
    <xdr:to>
      <xdr:col>5</xdr:col>
      <xdr:colOff>343772</xdr:colOff>
      <xdr:row>68</xdr:row>
      <xdr:rowOff>197153</xdr:rowOff>
    </xdr:to>
    <xdr:sp macro="" textlink="">
      <xdr:nvSpPr>
        <xdr:cNvPr id="115" name="Rechteck 114"/>
        <xdr:cNvSpPr/>
      </xdr:nvSpPr>
      <xdr:spPr>
        <a:xfrm>
          <a:off x="2316129" y="17929194"/>
          <a:ext cx="611299" cy="258303"/>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2</xdr:col>
      <xdr:colOff>276417</xdr:colOff>
      <xdr:row>67</xdr:row>
      <xdr:rowOff>33131</xdr:rowOff>
    </xdr:from>
    <xdr:to>
      <xdr:col>3</xdr:col>
      <xdr:colOff>304992</xdr:colOff>
      <xdr:row>67</xdr:row>
      <xdr:rowOff>285131</xdr:rowOff>
    </xdr:to>
    <xdr:sp macro="" textlink="">
      <xdr:nvSpPr>
        <xdr:cNvPr id="116" name="Rechteck 115"/>
        <xdr:cNvSpPr/>
      </xdr:nvSpPr>
      <xdr:spPr>
        <a:xfrm>
          <a:off x="1300355" y="17725819"/>
          <a:ext cx="838200" cy="252000"/>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PING_IPS</a:t>
          </a:r>
        </a:p>
      </xdr:txBody>
    </xdr:sp>
    <xdr:clientData/>
  </xdr:twoCellAnchor>
  <xdr:twoCellAnchor>
    <xdr:from>
      <xdr:col>2</xdr:col>
      <xdr:colOff>276758</xdr:colOff>
      <xdr:row>68</xdr:row>
      <xdr:rowOff>214732</xdr:rowOff>
    </xdr:from>
    <xdr:to>
      <xdr:col>3</xdr:col>
      <xdr:colOff>305333</xdr:colOff>
      <xdr:row>69</xdr:row>
      <xdr:rowOff>220202</xdr:rowOff>
    </xdr:to>
    <xdr:sp macro="" textlink="">
      <xdr:nvSpPr>
        <xdr:cNvPr id="117" name="Rechteck 116"/>
        <xdr:cNvSpPr/>
      </xdr:nvSpPr>
      <xdr:spPr>
        <a:xfrm>
          <a:off x="1307699" y="16485673"/>
          <a:ext cx="835399" cy="252000"/>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PING_I_R</a:t>
          </a:r>
        </a:p>
      </xdr:txBody>
    </xdr:sp>
    <xdr:clientData/>
  </xdr:twoCellAnchor>
  <xdr:twoCellAnchor>
    <xdr:from>
      <xdr:col>2</xdr:col>
      <xdr:colOff>137965</xdr:colOff>
      <xdr:row>68</xdr:row>
      <xdr:rowOff>173412</xdr:rowOff>
    </xdr:from>
    <xdr:to>
      <xdr:col>3</xdr:col>
      <xdr:colOff>461815</xdr:colOff>
      <xdr:row>68</xdr:row>
      <xdr:rowOff>173412</xdr:rowOff>
    </xdr:to>
    <xdr:cxnSp macro="">
      <xdr:nvCxnSpPr>
        <xdr:cNvPr id="118" name="Gerade Verbindung mit Pfeil 117"/>
        <xdr:cNvCxnSpPr/>
      </xdr:nvCxnSpPr>
      <xdr:spPr>
        <a:xfrm flipH="1">
          <a:off x="1165008" y="13226803"/>
          <a:ext cx="1085850"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132522</xdr:colOff>
      <xdr:row>68</xdr:row>
      <xdr:rowOff>84606</xdr:rowOff>
    </xdr:from>
    <xdr:to>
      <xdr:col>3</xdr:col>
      <xdr:colOff>456372</xdr:colOff>
      <xdr:row>68</xdr:row>
      <xdr:rowOff>84606</xdr:rowOff>
    </xdr:to>
    <xdr:cxnSp macro="">
      <xdr:nvCxnSpPr>
        <xdr:cNvPr id="119" name="Gerade Verbindung mit Pfeil 118"/>
        <xdr:cNvCxnSpPr/>
      </xdr:nvCxnSpPr>
      <xdr:spPr>
        <a:xfrm flipH="1">
          <a:off x="1159565" y="13137997"/>
          <a:ext cx="1085850"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252055</xdr:colOff>
      <xdr:row>68</xdr:row>
      <xdr:rowOff>12999</xdr:rowOff>
    </xdr:from>
    <xdr:to>
      <xdr:col>2</xdr:col>
      <xdr:colOff>102055</xdr:colOff>
      <xdr:row>69</xdr:row>
      <xdr:rowOff>18469</xdr:rowOff>
    </xdr:to>
    <xdr:sp macro="" textlink="">
      <xdr:nvSpPr>
        <xdr:cNvPr id="120" name="Rechteck 119"/>
        <xdr:cNvSpPr/>
      </xdr:nvSpPr>
      <xdr:spPr>
        <a:xfrm>
          <a:off x="513993" y="18003343"/>
          <a:ext cx="612000" cy="255501"/>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9</xdr:col>
      <xdr:colOff>662961</xdr:colOff>
      <xdr:row>67</xdr:row>
      <xdr:rowOff>206428</xdr:rowOff>
    </xdr:from>
    <xdr:to>
      <xdr:col>10</xdr:col>
      <xdr:colOff>512961</xdr:colOff>
      <xdr:row>68</xdr:row>
      <xdr:rowOff>167075</xdr:rowOff>
    </xdr:to>
    <xdr:sp macro="" textlink="">
      <xdr:nvSpPr>
        <xdr:cNvPr id="122" name="Rechteck 121"/>
        <xdr:cNvSpPr/>
      </xdr:nvSpPr>
      <xdr:spPr>
        <a:xfrm>
          <a:off x="5687399" y="17899116"/>
          <a:ext cx="612000" cy="258303"/>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7</xdr:col>
      <xdr:colOff>534463</xdr:colOff>
      <xdr:row>67</xdr:row>
      <xdr:rowOff>3053</xdr:rowOff>
    </xdr:from>
    <xdr:to>
      <xdr:col>9</xdr:col>
      <xdr:colOff>413951</xdr:colOff>
      <xdr:row>67</xdr:row>
      <xdr:rowOff>255053</xdr:rowOff>
    </xdr:to>
    <xdr:sp macro="" textlink="">
      <xdr:nvSpPr>
        <xdr:cNvPr id="123" name="Rechteck 122"/>
        <xdr:cNvSpPr/>
      </xdr:nvSpPr>
      <xdr:spPr>
        <a:xfrm>
          <a:off x="4642119" y="17695741"/>
          <a:ext cx="796270" cy="252000"/>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PING_PLC</a:t>
          </a:r>
        </a:p>
      </xdr:txBody>
    </xdr:sp>
    <xdr:clientData/>
  </xdr:twoCellAnchor>
  <xdr:twoCellAnchor>
    <xdr:from>
      <xdr:col>7</xdr:col>
      <xdr:colOff>534804</xdr:colOff>
      <xdr:row>68</xdr:row>
      <xdr:rowOff>184654</xdr:rowOff>
    </xdr:from>
    <xdr:to>
      <xdr:col>9</xdr:col>
      <xdr:colOff>414292</xdr:colOff>
      <xdr:row>69</xdr:row>
      <xdr:rowOff>190124</xdr:rowOff>
    </xdr:to>
    <xdr:sp macro="" textlink="">
      <xdr:nvSpPr>
        <xdr:cNvPr id="124" name="Rechteck 123"/>
        <xdr:cNvSpPr/>
      </xdr:nvSpPr>
      <xdr:spPr>
        <a:xfrm>
          <a:off x="4642460" y="18174998"/>
          <a:ext cx="796270" cy="255501"/>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PING_P_R</a:t>
          </a:r>
        </a:p>
      </xdr:txBody>
    </xdr:sp>
    <xdr:clientData/>
  </xdr:twoCellAnchor>
  <xdr:twoCellAnchor>
    <xdr:from>
      <xdr:col>7</xdr:col>
      <xdr:colOff>426286</xdr:colOff>
      <xdr:row>68</xdr:row>
      <xdr:rowOff>54528</xdr:rowOff>
    </xdr:from>
    <xdr:to>
      <xdr:col>9</xdr:col>
      <xdr:colOff>601049</xdr:colOff>
      <xdr:row>68</xdr:row>
      <xdr:rowOff>54528</xdr:rowOff>
    </xdr:to>
    <xdr:cxnSp macro="">
      <xdr:nvCxnSpPr>
        <xdr:cNvPr id="126" name="Gerade Verbindung mit Pfeil 125"/>
        <xdr:cNvCxnSpPr/>
      </xdr:nvCxnSpPr>
      <xdr:spPr>
        <a:xfrm flipH="1">
          <a:off x="4538845" y="16695263"/>
          <a:ext cx="1093645"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533913</xdr:colOff>
      <xdr:row>67</xdr:row>
      <xdr:rowOff>228566</xdr:rowOff>
    </xdr:from>
    <xdr:to>
      <xdr:col>7</xdr:col>
      <xdr:colOff>383913</xdr:colOff>
      <xdr:row>68</xdr:row>
      <xdr:rowOff>189213</xdr:rowOff>
    </xdr:to>
    <xdr:sp macro="" textlink="">
      <xdr:nvSpPr>
        <xdr:cNvPr id="127" name="Rechteck 126"/>
        <xdr:cNvSpPr/>
      </xdr:nvSpPr>
      <xdr:spPr>
        <a:xfrm>
          <a:off x="3879569" y="17921254"/>
          <a:ext cx="612000" cy="258303"/>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6</xdr:col>
      <xdr:colOff>526741</xdr:colOff>
      <xdr:row>63</xdr:row>
      <xdr:rowOff>37443</xdr:rowOff>
    </xdr:from>
    <xdr:to>
      <xdr:col>7</xdr:col>
      <xdr:colOff>376741</xdr:colOff>
      <xdr:row>64</xdr:row>
      <xdr:rowOff>134428</xdr:rowOff>
    </xdr:to>
    <xdr:sp macro="" textlink="">
      <xdr:nvSpPr>
        <xdr:cNvPr id="148" name="Rechteck 147"/>
        <xdr:cNvSpPr/>
      </xdr:nvSpPr>
      <xdr:spPr>
        <a:xfrm>
          <a:off x="3872397" y="16479974"/>
          <a:ext cx="612000" cy="263673"/>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7</xdr:col>
      <xdr:colOff>529592</xdr:colOff>
      <xdr:row>62</xdr:row>
      <xdr:rowOff>11921</xdr:rowOff>
    </xdr:from>
    <xdr:to>
      <xdr:col>9</xdr:col>
      <xdr:colOff>454980</xdr:colOff>
      <xdr:row>63</xdr:row>
      <xdr:rowOff>39804</xdr:rowOff>
    </xdr:to>
    <xdr:sp macro="" textlink="">
      <xdr:nvSpPr>
        <xdr:cNvPr id="149" name="Rechteck 148"/>
        <xdr:cNvSpPr/>
      </xdr:nvSpPr>
      <xdr:spPr>
        <a:xfrm>
          <a:off x="4637248" y="16240140"/>
          <a:ext cx="842170" cy="242195"/>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IPS_DATA</a:t>
          </a:r>
        </a:p>
      </xdr:txBody>
    </xdr:sp>
    <xdr:clientData/>
  </xdr:twoCellAnchor>
  <xdr:twoCellAnchor>
    <xdr:from>
      <xdr:col>7</xdr:col>
      <xdr:colOff>529933</xdr:colOff>
      <xdr:row>64</xdr:row>
      <xdr:rowOff>48811</xdr:rowOff>
    </xdr:from>
    <xdr:to>
      <xdr:col>9</xdr:col>
      <xdr:colOff>455321</xdr:colOff>
      <xdr:row>65</xdr:row>
      <xdr:rowOff>143929</xdr:rowOff>
    </xdr:to>
    <xdr:sp macro="" textlink="">
      <xdr:nvSpPr>
        <xdr:cNvPr id="150" name="Rechteck 149"/>
        <xdr:cNvSpPr/>
      </xdr:nvSpPr>
      <xdr:spPr>
        <a:xfrm>
          <a:off x="4633621" y="16392124"/>
          <a:ext cx="838200" cy="253868"/>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IPS_DA_R</a:t>
          </a:r>
        </a:p>
      </xdr:txBody>
    </xdr:sp>
    <xdr:clientData/>
  </xdr:twoCellAnchor>
  <xdr:twoCellAnchor>
    <xdr:from>
      <xdr:col>7</xdr:col>
      <xdr:colOff>391140</xdr:colOff>
      <xdr:row>63</xdr:row>
      <xdr:rowOff>158302</xdr:rowOff>
    </xdr:from>
    <xdr:to>
      <xdr:col>9</xdr:col>
      <xdr:colOff>611803</xdr:colOff>
      <xdr:row>63</xdr:row>
      <xdr:rowOff>158302</xdr:rowOff>
    </xdr:to>
    <xdr:cxnSp macro="">
      <xdr:nvCxnSpPr>
        <xdr:cNvPr id="151" name="Gerade Verbindung mit Pfeil 150"/>
        <xdr:cNvCxnSpPr/>
      </xdr:nvCxnSpPr>
      <xdr:spPr>
        <a:xfrm flipH="1">
          <a:off x="4494828" y="16342865"/>
          <a:ext cx="1133475"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385697</xdr:colOff>
      <xdr:row>63</xdr:row>
      <xdr:rowOff>87815</xdr:rowOff>
    </xdr:from>
    <xdr:to>
      <xdr:col>9</xdr:col>
      <xdr:colOff>606360</xdr:colOff>
      <xdr:row>63</xdr:row>
      <xdr:rowOff>87815</xdr:rowOff>
    </xdr:to>
    <xdr:cxnSp macro="">
      <xdr:nvCxnSpPr>
        <xdr:cNvPr id="152" name="Gerade Verbindung mit Pfeil 151"/>
        <xdr:cNvCxnSpPr/>
      </xdr:nvCxnSpPr>
      <xdr:spPr>
        <a:xfrm flipH="1">
          <a:off x="4489385" y="16272378"/>
          <a:ext cx="1133475"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660945</xdr:colOff>
      <xdr:row>63</xdr:row>
      <xdr:rowOff>33951</xdr:rowOff>
    </xdr:from>
    <xdr:to>
      <xdr:col>10</xdr:col>
      <xdr:colOff>498339</xdr:colOff>
      <xdr:row>64</xdr:row>
      <xdr:rowOff>130936</xdr:rowOff>
    </xdr:to>
    <xdr:sp macro="" textlink="">
      <xdr:nvSpPr>
        <xdr:cNvPr id="153" name="Rechteck 152"/>
        <xdr:cNvSpPr/>
      </xdr:nvSpPr>
      <xdr:spPr>
        <a:xfrm>
          <a:off x="5685383" y="16476482"/>
          <a:ext cx="599394" cy="263673"/>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1</xdr:col>
      <xdr:colOff>35486</xdr:colOff>
      <xdr:row>2</xdr:row>
      <xdr:rowOff>34862</xdr:rowOff>
    </xdr:from>
    <xdr:to>
      <xdr:col>1</xdr:col>
      <xdr:colOff>459753</xdr:colOff>
      <xdr:row>2</xdr:row>
      <xdr:rowOff>511837</xdr:rowOff>
    </xdr:to>
    <xdr:pic>
      <xdr:nvPicPr>
        <xdr:cNvPr id="46" name="Picture 1" descr="bmw"/>
        <xdr:cNvPicPr>
          <a:picLocks noChangeAspect="1" noChangeArrowheads="1"/>
        </xdr:cNvPicPr>
      </xdr:nvPicPr>
      <xdr:blipFill>
        <a:blip xmlns:r="http://schemas.openxmlformats.org/officeDocument/2006/relationships" r:embed="rId1" cstate="print"/>
        <a:srcRect/>
        <a:stretch>
          <a:fillRect/>
        </a:stretch>
      </xdr:blipFill>
      <xdr:spPr bwMode="auto">
        <a:xfrm>
          <a:off x="300069" y="151279"/>
          <a:ext cx="424267" cy="476975"/>
        </a:xfrm>
        <a:prstGeom prst="rect">
          <a:avLst/>
        </a:prstGeom>
        <a:noFill/>
        <a:ln w="9525">
          <a:noFill/>
          <a:miter lim="800000"/>
          <a:headEnd/>
          <a:tailEnd/>
        </a:ln>
      </xdr:spPr>
    </xdr:pic>
    <xdr:clientData/>
  </xdr:twoCellAnchor>
  <xdr:twoCellAnchor>
    <xdr:from>
      <xdr:col>1</xdr:col>
      <xdr:colOff>255754</xdr:colOff>
      <xdr:row>73</xdr:row>
      <xdr:rowOff>201262</xdr:rowOff>
    </xdr:from>
    <xdr:to>
      <xdr:col>2</xdr:col>
      <xdr:colOff>105754</xdr:colOff>
      <xdr:row>74</xdr:row>
      <xdr:rowOff>206733</xdr:rowOff>
    </xdr:to>
    <xdr:sp macro="" textlink="">
      <xdr:nvSpPr>
        <xdr:cNvPr id="47" name="Rechteck 46"/>
        <xdr:cNvSpPr/>
      </xdr:nvSpPr>
      <xdr:spPr>
        <a:xfrm>
          <a:off x="517692" y="19441762"/>
          <a:ext cx="612000" cy="25550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xdr:twoCellAnchor>
    <xdr:from>
      <xdr:col>3</xdr:col>
      <xdr:colOff>462924</xdr:colOff>
      <xdr:row>73</xdr:row>
      <xdr:rowOff>195910</xdr:rowOff>
    </xdr:from>
    <xdr:to>
      <xdr:col>5</xdr:col>
      <xdr:colOff>340138</xdr:colOff>
      <xdr:row>74</xdr:row>
      <xdr:rowOff>201381</xdr:rowOff>
    </xdr:to>
    <xdr:sp macro="" textlink="">
      <xdr:nvSpPr>
        <xdr:cNvPr id="48" name="Rechteck 47"/>
        <xdr:cNvSpPr/>
      </xdr:nvSpPr>
      <xdr:spPr>
        <a:xfrm>
          <a:off x="2296487" y="19436410"/>
          <a:ext cx="627307" cy="25550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2</xdr:col>
      <xdr:colOff>160503</xdr:colOff>
      <xdr:row>74</xdr:row>
      <xdr:rowOff>36725</xdr:rowOff>
    </xdr:from>
    <xdr:to>
      <xdr:col>3</xdr:col>
      <xdr:colOff>484354</xdr:colOff>
      <xdr:row>74</xdr:row>
      <xdr:rowOff>36725</xdr:rowOff>
    </xdr:to>
    <xdr:cxnSp macro="">
      <xdr:nvCxnSpPr>
        <xdr:cNvPr id="50" name="Gerade Verbindung mit Pfeil 49"/>
        <xdr:cNvCxnSpPr/>
      </xdr:nvCxnSpPr>
      <xdr:spPr>
        <a:xfrm flipH="1">
          <a:off x="1194646" y="19372475"/>
          <a:ext cx="1140279"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292492</xdr:colOff>
      <xdr:row>72</xdr:row>
      <xdr:rowOff>225516</xdr:rowOff>
    </xdr:from>
    <xdr:to>
      <xdr:col>3</xdr:col>
      <xdr:colOff>321068</xdr:colOff>
      <xdr:row>73</xdr:row>
      <xdr:rowOff>231788</xdr:rowOff>
    </xdr:to>
    <xdr:sp macro="" textlink="">
      <xdr:nvSpPr>
        <xdr:cNvPr id="51" name="Rechteck 50"/>
        <xdr:cNvSpPr/>
      </xdr:nvSpPr>
      <xdr:spPr>
        <a:xfrm>
          <a:off x="1326635" y="19071409"/>
          <a:ext cx="845004" cy="251200"/>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SPS_DATA</a:t>
          </a:r>
        </a:p>
      </xdr:txBody>
    </xdr:sp>
    <xdr:clientData/>
  </xdr:twoCellAnchor>
  <xdr:twoCellAnchor>
    <xdr:from>
      <xdr:col>7</xdr:col>
      <xdr:colOff>401928</xdr:colOff>
      <xdr:row>68</xdr:row>
      <xdr:rowOff>141664</xdr:rowOff>
    </xdr:from>
    <xdr:to>
      <xdr:col>9</xdr:col>
      <xdr:colOff>630528</xdr:colOff>
      <xdr:row>68</xdr:row>
      <xdr:rowOff>141664</xdr:rowOff>
    </xdr:to>
    <xdr:cxnSp macro="">
      <xdr:nvCxnSpPr>
        <xdr:cNvPr id="52" name="Gerade Verbindung mit Pfeil 51"/>
        <xdr:cNvCxnSpPr/>
      </xdr:nvCxnSpPr>
      <xdr:spPr>
        <a:xfrm flipH="1">
          <a:off x="4514487" y="16782399"/>
          <a:ext cx="1147482"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482499</xdr:colOff>
      <xdr:row>63</xdr:row>
      <xdr:rowOff>53748</xdr:rowOff>
    </xdr:from>
    <xdr:to>
      <xdr:col>5</xdr:col>
      <xdr:colOff>350199</xdr:colOff>
      <xdr:row>64</xdr:row>
      <xdr:rowOff>152169</xdr:rowOff>
    </xdr:to>
    <xdr:sp macro="" textlink="">
      <xdr:nvSpPr>
        <xdr:cNvPr id="55" name="Rechteck 54"/>
        <xdr:cNvSpPr/>
      </xdr:nvSpPr>
      <xdr:spPr>
        <a:xfrm>
          <a:off x="2323999" y="16238311"/>
          <a:ext cx="605888" cy="257171"/>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IPS-L</a:t>
          </a:r>
        </a:p>
      </xdr:txBody>
    </xdr:sp>
    <xdr:clientData/>
  </xdr:twoCellAnchor>
  <xdr:twoCellAnchor>
    <xdr:from>
      <xdr:col>2</xdr:col>
      <xdr:colOff>274909</xdr:colOff>
      <xdr:row>62</xdr:row>
      <xdr:rowOff>71489</xdr:rowOff>
    </xdr:from>
    <xdr:to>
      <xdr:col>3</xdr:col>
      <xdr:colOff>306007</xdr:colOff>
      <xdr:row>63</xdr:row>
      <xdr:rowOff>114279</xdr:rowOff>
    </xdr:to>
    <xdr:sp macro="" textlink="">
      <xdr:nvSpPr>
        <xdr:cNvPr id="56" name="Rechteck 55"/>
        <xdr:cNvSpPr/>
      </xdr:nvSpPr>
      <xdr:spPr>
        <a:xfrm>
          <a:off x="1298847" y="16299708"/>
          <a:ext cx="840723" cy="257102"/>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IPS_MOVE</a:t>
          </a:r>
        </a:p>
      </xdr:txBody>
    </xdr:sp>
    <xdr:clientData/>
  </xdr:twoCellAnchor>
  <xdr:twoCellAnchor>
    <xdr:from>
      <xdr:col>2</xdr:col>
      <xdr:colOff>275250</xdr:colOff>
      <xdr:row>65</xdr:row>
      <xdr:rowOff>10998</xdr:rowOff>
    </xdr:from>
    <xdr:to>
      <xdr:col>3</xdr:col>
      <xdr:colOff>306348</xdr:colOff>
      <xdr:row>65</xdr:row>
      <xdr:rowOff>258560</xdr:rowOff>
    </xdr:to>
    <xdr:sp macro="" textlink="">
      <xdr:nvSpPr>
        <xdr:cNvPr id="57" name="Rechteck 56"/>
        <xdr:cNvSpPr/>
      </xdr:nvSpPr>
      <xdr:spPr>
        <a:xfrm>
          <a:off x="1299188" y="16786904"/>
          <a:ext cx="840723" cy="247562"/>
        </a:xfrm>
        <a:prstGeom prst="rect">
          <a:avLst/>
        </a:prstGeom>
        <a:solidFill>
          <a:sysClr val="window" lastClr="FFFFFF"/>
        </a:solidFill>
        <a:ln>
          <a:noFill/>
        </a:ln>
      </xdr:spPr>
      <xdr:style>
        <a:lnRef idx="1">
          <a:schemeClr val="accent3"/>
        </a:lnRef>
        <a:fillRef idx="3">
          <a:schemeClr val="accent3"/>
        </a:fillRef>
        <a:effectRef idx="2">
          <a:schemeClr val="accent3"/>
        </a:effectRef>
        <a:fontRef idx="minor">
          <a:schemeClr val="lt1"/>
        </a:fontRef>
      </xdr:style>
      <xdr:txBody>
        <a:bodyPr vertOverflow="clip" rtlCol="0" anchor="ctr"/>
        <a:lstStyle/>
        <a:p>
          <a:pPr marL="0" indent="0" algn="ctr"/>
          <a:r>
            <a:rPr lang="de-DE" sz="1000">
              <a:solidFill>
                <a:schemeClr val="tx1"/>
              </a:solidFill>
              <a:latin typeface="+mn-lt"/>
              <a:ea typeface="+mn-ea"/>
              <a:cs typeface="+mn-cs"/>
            </a:rPr>
            <a:t>IPS_MO_R</a:t>
          </a:r>
        </a:p>
      </xdr:txBody>
    </xdr:sp>
    <xdr:clientData/>
  </xdr:twoCellAnchor>
  <xdr:twoCellAnchor>
    <xdr:from>
      <xdr:col>2</xdr:col>
      <xdr:colOff>124551</xdr:colOff>
      <xdr:row>64</xdr:row>
      <xdr:rowOff>27510</xdr:rowOff>
    </xdr:from>
    <xdr:to>
      <xdr:col>3</xdr:col>
      <xdr:colOff>449842</xdr:colOff>
      <xdr:row>64</xdr:row>
      <xdr:rowOff>27510</xdr:rowOff>
    </xdr:to>
    <xdr:cxnSp macro="">
      <xdr:nvCxnSpPr>
        <xdr:cNvPr id="58" name="Gerade Verbindung mit Pfeil 57"/>
        <xdr:cNvCxnSpPr/>
      </xdr:nvCxnSpPr>
      <xdr:spPr>
        <a:xfrm flipH="1">
          <a:off x="1156426" y="16370823"/>
          <a:ext cx="1134916" cy="0"/>
        </a:xfrm>
        <a:prstGeom prst="straightConnector1">
          <a:avLst/>
        </a:prstGeom>
        <a:ln>
          <a:solidFill>
            <a:schemeClr val="bg1">
              <a:lumMod val="5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119108</xdr:colOff>
      <xdr:row>64</xdr:row>
      <xdr:rowOff>94050</xdr:rowOff>
    </xdr:from>
    <xdr:to>
      <xdr:col>3</xdr:col>
      <xdr:colOff>444399</xdr:colOff>
      <xdr:row>64</xdr:row>
      <xdr:rowOff>94050</xdr:rowOff>
    </xdr:to>
    <xdr:cxnSp macro="">
      <xdr:nvCxnSpPr>
        <xdr:cNvPr id="59" name="Gerade Verbindung mit Pfeil 58"/>
        <xdr:cNvCxnSpPr/>
      </xdr:nvCxnSpPr>
      <xdr:spPr>
        <a:xfrm flipH="1">
          <a:off x="1150983" y="16437363"/>
          <a:ext cx="1134916" cy="0"/>
        </a:xfrm>
        <a:prstGeom prst="straightConnector1">
          <a:avLst/>
        </a:prstGeom>
        <a:ln>
          <a:solidFill>
            <a:schemeClr val="bg1">
              <a:lumMod val="50000"/>
            </a:schemeClr>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250547</xdr:colOff>
      <xdr:row>63</xdr:row>
      <xdr:rowOff>135784</xdr:rowOff>
    </xdr:from>
    <xdr:to>
      <xdr:col>2</xdr:col>
      <xdr:colOff>100547</xdr:colOff>
      <xdr:row>65</xdr:row>
      <xdr:rowOff>57910</xdr:rowOff>
    </xdr:to>
    <xdr:sp macro="" textlink="">
      <xdr:nvSpPr>
        <xdr:cNvPr id="60" name="Rechteck 59"/>
        <xdr:cNvSpPr/>
      </xdr:nvSpPr>
      <xdr:spPr>
        <a:xfrm>
          <a:off x="520422" y="16320347"/>
          <a:ext cx="612000" cy="239626"/>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de-DE" sz="1100"/>
            <a:t>Facility</a:t>
          </a:r>
        </a:p>
      </xdr:txBody>
    </xdr:sp>
    <xdr:clientData/>
  </xdr:twoCellAnchor>
  <mc:AlternateContent xmlns:mc="http://schemas.openxmlformats.org/markup-compatibility/2006">
    <mc:Choice xmlns:a14="http://schemas.microsoft.com/office/drawing/2010/main" Requires="a14">
      <xdr:twoCellAnchor editAs="oneCell">
        <xdr:from>
          <xdr:col>1</xdr:col>
          <xdr:colOff>640080</xdr:colOff>
          <xdr:row>51</xdr:row>
          <xdr:rowOff>60960</xdr:rowOff>
        </xdr:from>
        <xdr:to>
          <xdr:col>3</xdr:col>
          <xdr:colOff>373380</xdr:colOff>
          <xdr:row>52</xdr:row>
          <xdr:rowOff>76200</xdr:rowOff>
        </xdr:to>
        <xdr:sp macro="" textlink="">
          <xdr:nvSpPr>
            <xdr:cNvPr id="11273" name="TEL_REQU"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220980</xdr:colOff>
          <xdr:row>51</xdr:row>
          <xdr:rowOff>76200</xdr:rowOff>
        </xdr:from>
        <xdr:to>
          <xdr:col>9</xdr:col>
          <xdr:colOff>655320</xdr:colOff>
          <xdr:row>52</xdr:row>
          <xdr:rowOff>76200</xdr:rowOff>
        </xdr:to>
        <xdr:sp macro="" textlink="">
          <xdr:nvSpPr>
            <xdr:cNvPr id="11274" name="SEQ_REQU" hidden="1">
              <a:extLst>
                <a:ext uri="{63B3BB69-23CF-44E3-9099-C40C66FF867C}">
                  <a14:compatExt spid="_x0000_s11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647700</xdr:colOff>
          <xdr:row>56</xdr:row>
          <xdr:rowOff>121920</xdr:rowOff>
        </xdr:from>
        <xdr:to>
          <xdr:col>3</xdr:col>
          <xdr:colOff>502920</xdr:colOff>
          <xdr:row>57</xdr:row>
          <xdr:rowOff>190500</xdr:rowOff>
        </xdr:to>
        <xdr:sp macro="" textlink="">
          <xdr:nvSpPr>
            <xdr:cNvPr id="11275" name="Trigger" hidden="1">
              <a:extLst>
                <a:ext uri="{63B3BB69-23CF-44E3-9099-C40C66FF867C}">
                  <a14:compatExt spid="_x0000_s11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220980</xdr:colOff>
          <xdr:row>61</xdr:row>
          <xdr:rowOff>83820</xdr:rowOff>
        </xdr:from>
        <xdr:to>
          <xdr:col>10</xdr:col>
          <xdr:colOff>60960</xdr:colOff>
          <xdr:row>62</xdr:row>
          <xdr:rowOff>22860</xdr:rowOff>
        </xdr:to>
        <xdr:sp macro="" textlink="">
          <xdr:nvSpPr>
            <xdr:cNvPr id="11276" name="IPS_DATA" hidden="1">
              <a:extLst>
                <a:ext uri="{63B3BB69-23CF-44E3-9099-C40C66FF867C}">
                  <a14:compatExt spid="_x0000_s11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71</xdr:row>
          <xdr:rowOff>198120</xdr:rowOff>
        </xdr:from>
        <xdr:to>
          <xdr:col>13</xdr:col>
          <xdr:colOff>7620</xdr:colOff>
          <xdr:row>72</xdr:row>
          <xdr:rowOff>182880</xdr:rowOff>
        </xdr:to>
        <xdr:sp macro="" textlink="">
          <xdr:nvSpPr>
            <xdr:cNvPr id="11277" name="SPS_DATA_ZUORMOGE" hidden="1">
              <a:extLst>
                <a:ext uri="{63B3BB69-23CF-44E3-9099-C40C66FF867C}">
                  <a14:compatExt spid="_x0000_s11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655320</xdr:colOff>
          <xdr:row>66</xdr:row>
          <xdr:rowOff>190500</xdr:rowOff>
        </xdr:from>
        <xdr:to>
          <xdr:col>5</xdr:col>
          <xdr:colOff>243840</xdr:colOff>
          <xdr:row>67</xdr:row>
          <xdr:rowOff>45720</xdr:rowOff>
        </xdr:to>
        <xdr:sp macro="" textlink="">
          <xdr:nvSpPr>
            <xdr:cNvPr id="11278" name="PING_IPS" hidden="1">
              <a:extLst>
                <a:ext uri="{63B3BB69-23CF-44E3-9099-C40C66FF867C}">
                  <a14:compatExt spid="_x0000_s11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66</xdr:row>
          <xdr:rowOff>213360</xdr:rowOff>
        </xdr:from>
        <xdr:to>
          <xdr:col>10</xdr:col>
          <xdr:colOff>647700</xdr:colOff>
          <xdr:row>67</xdr:row>
          <xdr:rowOff>15240</xdr:rowOff>
        </xdr:to>
        <xdr:sp macro="" textlink="">
          <xdr:nvSpPr>
            <xdr:cNvPr id="11279" name="PING_PLC" hidden="1">
              <a:extLst>
                <a:ext uri="{63B3BB69-23CF-44E3-9099-C40C66FF867C}">
                  <a14:compatExt spid="_x0000_s11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670560</xdr:colOff>
          <xdr:row>71</xdr:row>
          <xdr:rowOff>190500</xdr:rowOff>
        </xdr:from>
        <xdr:to>
          <xdr:col>5</xdr:col>
          <xdr:colOff>601980</xdr:colOff>
          <xdr:row>72</xdr:row>
          <xdr:rowOff>175260</xdr:rowOff>
        </xdr:to>
        <xdr:sp macro="" textlink="">
          <xdr:nvSpPr>
            <xdr:cNvPr id="11280" name="SPS_DATA_VINRSULT" hidden="1">
              <a:extLst>
                <a:ext uri="{63B3BB69-23CF-44E3-9099-C40C66FF867C}">
                  <a14:compatExt spid="_x0000_s11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56</xdr:row>
          <xdr:rowOff>121920</xdr:rowOff>
        </xdr:from>
        <xdr:to>
          <xdr:col>6</xdr:col>
          <xdr:colOff>541020</xdr:colOff>
          <xdr:row>57</xdr:row>
          <xdr:rowOff>190500</xdr:rowOff>
        </xdr:to>
        <xdr:sp macro="" textlink="">
          <xdr:nvSpPr>
            <xdr:cNvPr id="11281" name="Empty_Tacts"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25</xdr:row>
          <xdr:rowOff>190500</xdr:rowOff>
        </xdr:from>
        <xdr:to>
          <xdr:col>6</xdr:col>
          <xdr:colOff>457200</xdr:colOff>
          <xdr:row>27</xdr:row>
          <xdr:rowOff>53340</xdr:rowOff>
        </xdr:to>
        <xdr:sp macro="" textlink="">
          <xdr:nvSpPr>
            <xdr:cNvPr id="11292" name="CP_Communication" hidden="1">
              <a:extLst>
                <a:ext uri="{63B3BB69-23CF-44E3-9099-C40C66FF867C}">
                  <a14:compatExt spid="_x0000_s1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655320</xdr:colOff>
          <xdr:row>61</xdr:row>
          <xdr:rowOff>152400</xdr:rowOff>
        </xdr:from>
        <xdr:to>
          <xdr:col>5</xdr:col>
          <xdr:colOff>441960</xdr:colOff>
          <xdr:row>62</xdr:row>
          <xdr:rowOff>30480</xdr:rowOff>
        </xdr:to>
        <xdr:sp macro="" textlink="">
          <xdr:nvSpPr>
            <xdr:cNvPr id="11293" name="IPS_MOVE" hidden="1">
              <a:extLst>
                <a:ext uri="{63B3BB69-23CF-44E3-9099-C40C66FF867C}">
                  <a14:compatExt spid="_x0000_s11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21171</xdr:colOff>
      <xdr:row>1</xdr:row>
      <xdr:rowOff>10585</xdr:rowOff>
    </xdr:from>
    <xdr:to>
      <xdr:col>1</xdr:col>
      <xdr:colOff>445438</xdr:colOff>
      <xdr:row>1</xdr:row>
      <xdr:rowOff>487560</xdr:rowOff>
    </xdr:to>
    <xdr:pic>
      <xdr:nvPicPr>
        <xdr:cNvPr id="2" name="Picture 1" descr="bmw"/>
        <xdr:cNvPicPr>
          <a:picLocks noChangeAspect="1" noChangeArrowheads="1"/>
        </xdr:cNvPicPr>
      </xdr:nvPicPr>
      <xdr:blipFill>
        <a:blip xmlns:r="http://schemas.openxmlformats.org/officeDocument/2006/relationships" r:embed="rId1" cstate="print"/>
        <a:srcRect/>
        <a:stretch>
          <a:fillRect/>
        </a:stretch>
      </xdr:blipFill>
      <xdr:spPr bwMode="auto">
        <a:xfrm>
          <a:off x="297396" y="124885"/>
          <a:ext cx="424267" cy="4769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289560</xdr:colOff>
          <xdr:row>8</xdr:row>
          <xdr:rowOff>228600</xdr:rowOff>
        </xdr:from>
        <xdr:to>
          <xdr:col>2</xdr:col>
          <xdr:colOff>22860</xdr:colOff>
          <xdr:row>8</xdr:row>
          <xdr:rowOff>449580</xdr:rowOff>
        </xdr:to>
        <xdr:sp macro="" textlink="">
          <xdr:nvSpPr>
            <xdr:cNvPr id="25601" name="Check Box 1" hidden="1">
              <a:extLst>
                <a:ext uri="{63B3BB69-23CF-44E3-9099-C40C66FF867C}">
                  <a14:compatExt spid="_x0000_s25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289560</xdr:colOff>
          <xdr:row>12</xdr:row>
          <xdr:rowOff>220980</xdr:rowOff>
        </xdr:from>
        <xdr:to>
          <xdr:col>2</xdr:col>
          <xdr:colOff>22860</xdr:colOff>
          <xdr:row>12</xdr:row>
          <xdr:rowOff>441960</xdr:rowOff>
        </xdr:to>
        <xdr:sp macro="" textlink="">
          <xdr:nvSpPr>
            <xdr:cNvPr id="25602" name="Check Box 2" hidden="1">
              <a:extLst>
                <a:ext uri="{63B3BB69-23CF-44E3-9099-C40C66FF867C}">
                  <a14:compatExt spid="_x0000_s25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289560</xdr:colOff>
          <xdr:row>14</xdr:row>
          <xdr:rowOff>220980</xdr:rowOff>
        </xdr:from>
        <xdr:to>
          <xdr:col>2</xdr:col>
          <xdr:colOff>22860</xdr:colOff>
          <xdr:row>14</xdr:row>
          <xdr:rowOff>441960</xdr:rowOff>
        </xdr:to>
        <xdr:sp macro="" textlink="">
          <xdr:nvSpPr>
            <xdr:cNvPr id="25603" name="Check Box 3" hidden="1">
              <a:extLst>
                <a:ext uri="{63B3BB69-23CF-44E3-9099-C40C66FF867C}">
                  <a14:compatExt spid="_x0000_s25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289560</xdr:colOff>
          <xdr:row>16</xdr:row>
          <xdr:rowOff>220980</xdr:rowOff>
        </xdr:from>
        <xdr:to>
          <xdr:col>2</xdr:col>
          <xdr:colOff>22860</xdr:colOff>
          <xdr:row>16</xdr:row>
          <xdr:rowOff>441960</xdr:rowOff>
        </xdr:to>
        <xdr:sp macro="" textlink="">
          <xdr:nvSpPr>
            <xdr:cNvPr id="25604" name="Check Box 4" hidden="1">
              <a:extLst>
                <a:ext uri="{63B3BB69-23CF-44E3-9099-C40C66FF867C}">
                  <a14:compatExt spid="_x0000_s25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289560</xdr:colOff>
          <xdr:row>10</xdr:row>
          <xdr:rowOff>228600</xdr:rowOff>
        </xdr:from>
        <xdr:to>
          <xdr:col>2</xdr:col>
          <xdr:colOff>22860</xdr:colOff>
          <xdr:row>10</xdr:row>
          <xdr:rowOff>449580</xdr:rowOff>
        </xdr:to>
        <xdr:sp macro="" textlink="">
          <xdr:nvSpPr>
            <xdr:cNvPr id="25605" name="Check Box 5" hidden="1">
              <a:extLst>
                <a:ext uri="{63B3BB69-23CF-44E3-9099-C40C66FF867C}">
                  <a14:compatExt spid="_x0000_s256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21171</xdr:colOff>
      <xdr:row>1</xdr:row>
      <xdr:rowOff>10585</xdr:rowOff>
    </xdr:from>
    <xdr:to>
      <xdr:col>1</xdr:col>
      <xdr:colOff>445438</xdr:colOff>
      <xdr:row>1</xdr:row>
      <xdr:rowOff>487560</xdr:rowOff>
    </xdr:to>
    <xdr:pic>
      <xdr:nvPicPr>
        <xdr:cNvPr id="4" name="Picture 1" descr="bmw"/>
        <xdr:cNvPicPr>
          <a:picLocks noChangeAspect="1" noChangeArrowheads="1"/>
        </xdr:cNvPicPr>
      </xdr:nvPicPr>
      <xdr:blipFill>
        <a:blip xmlns:r="http://schemas.openxmlformats.org/officeDocument/2006/relationships" r:embed="rId1" cstate="print"/>
        <a:srcRect/>
        <a:stretch>
          <a:fillRect/>
        </a:stretch>
      </xdr:blipFill>
      <xdr:spPr bwMode="auto">
        <a:xfrm>
          <a:off x="296338" y="127002"/>
          <a:ext cx="424267" cy="4769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Q:\20_Gremien\11_FG_EL\41_P_AKZ\Standard\Archiv\Users\q006239\AppData\Local\Microsoft\Windows\Temporary%20Internet%20Files\Content.Outlook\OHIIHR4B\OKZ.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q181699\AppData\Local\Microsoft\Windows\Temporary%20Internet%20Files\Content.Outlook\ZSHIB32W\E_10.02.1_SPEC_20170316_IPS-L_Interface_template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ktionskürzel"/>
      <sheetName val="Funktionskürzel alternativ"/>
      <sheetName val="Daten"/>
    </sheetNames>
    <sheetDataSet>
      <sheetData sheetId="0" refreshError="1"/>
      <sheetData sheetId="1" refreshError="1"/>
      <sheetData sheetId="2" refreshError="1">
        <row r="1">
          <cell r="A1" t="str">
            <v>DE</v>
          </cell>
        </row>
        <row r="2">
          <cell r="A2" t="str">
            <v>--</v>
          </cell>
        </row>
        <row r="3">
          <cell r="A3" t="str">
            <v>--</v>
          </cell>
        </row>
        <row r="4">
          <cell r="A4" t="str">
            <v>Abluft</v>
          </cell>
        </row>
        <row r="5">
          <cell r="A5" t="str">
            <v>Abzugsantrieb</v>
          </cell>
        </row>
        <row r="6">
          <cell r="A6" t="str">
            <v>Abzugsantrieb</v>
          </cell>
        </row>
        <row r="7">
          <cell r="A7" t="str">
            <v>Andockantrieb</v>
          </cell>
        </row>
        <row r="8">
          <cell r="A8" t="str">
            <v>Andockantrieb</v>
          </cell>
        </row>
        <row r="9">
          <cell r="A9" t="str">
            <v>Anlagen-PC</v>
          </cell>
        </row>
        <row r="10">
          <cell r="A10" t="str">
            <v>Anpass-/Antriebs-Schrank bzw. -Kasten, Leistungschrank Steuerung Steuerungstechnik</v>
          </cell>
        </row>
        <row r="11">
          <cell r="A11" t="str">
            <v>Anzeigen (Tableaus, Einzelanzeigen)</v>
          </cell>
        </row>
        <row r="12">
          <cell r="A12" t="str">
            <v>Arbeitsplatz, Takt,</v>
          </cell>
        </row>
        <row r="13">
          <cell r="A13" t="str">
            <v>Arbeitsraum</v>
          </cell>
        </row>
        <row r="14">
          <cell r="A14" t="str">
            <v>Arretierung</v>
          </cell>
        </row>
        <row r="15">
          <cell r="A15" t="str">
            <v>Aufheizzone</v>
          </cell>
        </row>
        <row r="16">
          <cell r="A16" t="str">
            <v>Auslagerwagen</v>
          </cell>
        </row>
        <row r="17">
          <cell r="A17" t="str">
            <v>Auslauf</v>
          </cell>
        </row>
        <row r="18">
          <cell r="A18" t="str">
            <v>Ausschieber</v>
          </cell>
        </row>
        <row r="19">
          <cell r="A19" t="str">
            <v>Aussenluft</v>
          </cell>
        </row>
        <row r="20">
          <cell r="A20" t="str">
            <v>Bauteileentsorgung</v>
          </cell>
        </row>
        <row r="21">
          <cell r="A21" t="str">
            <v>Bauteilfixierung</v>
          </cell>
        </row>
        <row r="22">
          <cell r="A22" t="str">
            <v>Bauteilversorgung</v>
          </cell>
        </row>
        <row r="23">
          <cell r="A23" t="str">
            <v>Bedientableau</v>
          </cell>
        </row>
        <row r="24">
          <cell r="A24" t="str">
            <v>Behälteraufnahme Behälterturm</v>
          </cell>
        </row>
        <row r="25">
          <cell r="A25" t="str">
            <v>Beladearm</v>
          </cell>
        </row>
        <row r="26">
          <cell r="A26" t="str">
            <v>Beladetüre</v>
          </cell>
        </row>
        <row r="27">
          <cell r="A27" t="str">
            <v>Beleuchtung</v>
          </cell>
        </row>
        <row r="28">
          <cell r="A28" t="str">
            <v>Blindnieten</v>
          </cell>
        </row>
        <row r="29">
          <cell r="A29" t="str">
            <v>Blockstelle</v>
          </cell>
        </row>
        <row r="30">
          <cell r="A30" t="str">
            <v>Bohreinheit</v>
          </cell>
        </row>
        <row r="31">
          <cell r="A31" t="str">
            <v>Bolzenschweissen</v>
          </cell>
        </row>
        <row r="32">
          <cell r="A32" t="str">
            <v>Brandschutztor</v>
          </cell>
        </row>
        <row r="33">
          <cell r="A33" t="str">
            <v>Bremsantrieb</v>
          </cell>
        </row>
        <row r="34">
          <cell r="A34" t="str">
            <v>Brenner</v>
          </cell>
        </row>
        <row r="35">
          <cell r="A35" t="str">
            <v>Buckelschweissen</v>
          </cell>
        </row>
        <row r="36">
          <cell r="A36" t="str">
            <v>BVS-Schrank + integrierte Einspeisung (BVSE-Schrank)</v>
          </cell>
        </row>
        <row r="37">
          <cell r="A37" t="str">
            <v>BVx-Schrank (BVS, BVT, BVO)</v>
          </cell>
        </row>
        <row r="38">
          <cell r="A38" t="str">
            <v>Clinchen</v>
          </cell>
        </row>
        <row r="39">
          <cell r="A39" t="str">
            <v>Diagnosestation</v>
          </cell>
        </row>
        <row r="40">
          <cell r="A40" t="str">
            <v>Distanzkontrolle</v>
          </cell>
        </row>
        <row r="41">
          <cell r="A41" t="str">
            <v>Dosierbehälter</v>
          </cell>
        </row>
        <row r="42">
          <cell r="A42" t="str">
            <v>Drehantrieb</v>
          </cell>
        </row>
        <row r="43">
          <cell r="A43" t="str">
            <v>Drehtisch</v>
          </cell>
        </row>
        <row r="44">
          <cell r="A44" t="str">
            <v>Drehtisch</v>
          </cell>
        </row>
        <row r="45">
          <cell r="A45" t="str">
            <v>Drehtisch</v>
          </cell>
        </row>
        <row r="46">
          <cell r="A46" t="str">
            <v>Drehtrommel</v>
          </cell>
        </row>
        <row r="47">
          <cell r="A47" t="str">
            <v>Drehverteiler</v>
          </cell>
        </row>
        <row r="48">
          <cell r="A48" t="str">
            <v>Druckluft</v>
          </cell>
        </row>
        <row r="49">
          <cell r="A49" t="str">
            <v>Düsenreinigung</v>
          </cell>
        </row>
        <row r="50">
          <cell r="A50" t="str">
            <v>Ein-/Ausschleusstation</v>
          </cell>
        </row>
        <row r="51">
          <cell r="A51" t="str">
            <v>Einlegestation, Einschleusen</v>
          </cell>
        </row>
        <row r="52">
          <cell r="A52" t="str">
            <v>Einrichtmeister</v>
          </cell>
        </row>
        <row r="53">
          <cell r="A53" t="str">
            <v>Einspeiseschrank</v>
          </cell>
        </row>
        <row r="54">
          <cell r="A54" t="str">
            <v>Einspeiseschrank (ohne Steuerung)</v>
          </cell>
        </row>
        <row r="55">
          <cell r="A55" t="str">
            <v>Elektrodenkappenwechsler</v>
          </cell>
        </row>
        <row r="56">
          <cell r="A56" t="str">
            <v>Entkoppler</v>
          </cell>
        </row>
        <row r="57">
          <cell r="A57" t="str">
            <v>Etikettierer</v>
          </cell>
        </row>
        <row r="58">
          <cell r="A58" t="str">
            <v>Fahrkabine</v>
          </cell>
        </row>
        <row r="59">
          <cell r="A59" t="str">
            <v>Fahrschiene, Fahrschalter</v>
          </cell>
        </row>
        <row r="60">
          <cell r="A60" t="str">
            <v>Fahrwerk, Farbwahl</v>
          </cell>
        </row>
        <row r="61">
          <cell r="A61" t="str">
            <v>Fahrzone</v>
          </cell>
        </row>
        <row r="62">
          <cell r="A62" t="str">
            <v>Fahrzoneneinspeisekasten (Fördertechnik)</v>
          </cell>
        </row>
        <row r="63">
          <cell r="A63" t="str">
            <v>Filter allgemein</v>
          </cell>
        </row>
        <row r="64">
          <cell r="A64" t="str">
            <v>Flüssigkeitsbehälter</v>
          </cell>
        </row>
        <row r="65">
          <cell r="A65" t="str">
            <v>Fördermittel</v>
          </cell>
        </row>
        <row r="66">
          <cell r="A66" t="str">
            <v>Frischluft</v>
          </cell>
        </row>
        <row r="67">
          <cell r="A67" t="str">
            <v>Fügen</v>
          </cell>
        </row>
        <row r="68">
          <cell r="A68" t="str">
            <v>Funktionsgruppe</v>
          </cell>
        </row>
        <row r="69">
          <cell r="A69" t="str">
            <v>Gehänge Schließstation</v>
          </cell>
        </row>
        <row r="70">
          <cell r="A70" t="str">
            <v>Gehänge Verstellstation</v>
          </cell>
        </row>
        <row r="71">
          <cell r="A71" t="str">
            <v>Geschwindigkeitserfassung (general)</v>
          </cell>
        </row>
        <row r="72">
          <cell r="A72" t="str">
            <v>Greifer (Handling) am Roboter</v>
          </cell>
        </row>
        <row r="73">
          <cell r="A73" t="str">
            <v>Gruppe</v>
          </cell>
        </row>
        <row r="74">
          <cell r="A74" t="str">
            <v>Gurt- / Zahnriemenförderer</v>
          </cell>
        </row>
        <row r="75">
          <cell r="A75" t="str">
            <v>Handlingsgerät</v>
          </cell>
        </row>
        <row r="76">
          <cell r="A76" t="str">
            <v>Hand-Vor-Ort-Bedieneinheit</v>
          </cell>
        </row>
        <row r="77">
          <cell r="A77" t="str">
            <v>Heizung</v>
          </cell>
        </row>
        <row r="78">
          <cell r="A78" t="str">
            <v>Hubbalken Block</v>
          </cell>
        </row>
        <row r="79">
          <cell r="A79" t="str">
            <v>Hubbalkenblock</v>
          </cell>
        </row>
        <row r="80">
          <cell r="A80" t="str">
            <v>Hubstation</v>
          </cell>
        </row>
        <row r="81">
          <cell r="A81" t="str">
            <v>Hubstation</v>
          </cell>
        </row>
        <row r="82">
          <cell r="A82" t="str">
            <v>Hubstation</v>
          </cell>
        </row>
        <row r="83">
          <cell r="A83" t="str">
            <v>Hubtisch</v>
          </cell>
        </row>
        <row r="84">
          <cell r="A84" t="str">
            <v>Hubtisch</v>
          </cell>
        </row>
        <row r="85">
          <cell r="A85" t="str">
            <v>Hubtisch</v>
          </cell>
        </row>
        <row r="86">
          <cell r="A86" t="str">
            <v>Hubwerk</v>
          </cell>
        </row>
        <row r="87">
          <cell r="A87" t="str">
            <v>Hydraulik</v>
          </cell>
        </row>
        <row r="88">
          <cell r="A88" t="str">
            <v>Hydraulikaggregat</v>
          </cell>
        </row>
        <row r="89">
          <cell r="A89" t="str">
            <v>Hydraulikaggregat</v>
          </cell>
        </row>
        <row r="90">
          <cell r="A90" t="str">
            <v>Identsystem</v>
          </cell>
        </row>
        <row r="91">
          <cell r="A91" t="str">
            <v>Industrie-Roboter</v>
          </cell>
        </row>
        <row r="92">
          <cell r="A92" t="str">
            <v>Inline-Messstation</v>
          </cell>
        </row>
        <row r="93">
          <cell r="A93" t="str">
            <v>Installationsnotaustaster</v>
          </cell>
        </row>
        <row r="94">
          <cell r="A94" t="str">
            <v>Kabine</v>
          </cell>
        </row>
        <row r="95">
          <cell r="A95" t="str">
            <v>Kamerasystem</v>
          </cell>
        </row>
        <row r="96">
          <cell r="A96" t="str">
            <v>Kappenfräser und E-Kappenwechsler</v>
          </cell>
        </row>
        <row r="97">
          <cell r="A97" t="str">
            <v>Karossenumsetzer</v>
          </cell>
        </row>
        <row r="98">
          <cell r="A98" t="str">
            <v>Karossenverriegelung</v>
          </cell>
        </row>
        <row r="99">
          <cell r="A99" t="str">
            <v>Kette Einlag., Kuppeleinheit, Klappstation</v>
          </cell>
        </row>
        <row r="100">
          <cell r="A100" t="str">
            <v>Kettenförderer</v>
          </cell>
        </row>
        <row r="101">
          <cell r="A101" t="str">
            <v>Kipptisch</v>
          </cell>
        </row>
        <row r="102">
          <cell r="A102" t="str">
            <v>Kleben allg., Klebe-Technik/Auftrag</v>
          </cell>
        </row>
        <row r="103">
          <cell r="A103" t="str">
            <v>Klebetechnik</v>
          </cell>
        </row>
        <row r="104">
          <cell r="A104" t="str">
            <v>Klemmkasten</v>
          </cell>
        </row>
        <row r="105">
          <cell r="A105" t="str">
            <v>Klemmung</v>
          </cell>
        </row>
        <row r="106">
          <cell r="A106" t="str">
            <v>Kühlen</v>
          </cell>
        </row>
        <row r="107">
          <cell r="A107" t="str">
            <v>Kühlzone</v>
          </cell>
        </row>
        <row r="108">
          <cell r="A108" t="str">
            <v>Kurvenblock</v>
          </cell>
        </row>
        <row r="109">
          <cell r="A109" t="str">
            <v>Kurvenblock</v>
          </cell>
        </row>
        <row r="110">
          <cell r="A110" t="str">
            <v>Längsförderer</v>
          </cell>
        </row>
        <row r="111">
          <cell r="A111" t="str">
            <v>Laserschweißen</v>
          </cell>
        </row>
        <row r="112">
          <cell r="A112" t="str">
            <v>Laufrollen</v>
          </cell>
        </row>
        <row r="113">
          <cell r="A113" t="str">
            <v>Leistungsschrank (evtl. inkl. Steu./ Einsp.)</v>
          </cell>
        </row>
        <row r="114">
          <cell r="A114" t="str">
            <v>Lenkradmesswaage</v>
          </cell>
        </row>
        <row r="115">
          <cell r="A115" t="str">
            <v>Luftaufbereitung</v>
          </cell>
        </row>
        <row r="116">
          <cell r="A116" t="str">
            <v>Makiersysteme (Präger, Nadelritzen,)</v>
          </cell>
        </row>
        <row r="117">
          <cell r="A117" t="str">
            <v>Medien-Modul (Roboter Luft und Wasser)</v>
          </cell>
        </row>
        <row r="118">
          <cell r="A118" t="str">
            <v>Medienplatte, Medieneinspeisung, Luftverbrauchsmessung (Fertigungsanlagen)</v>
          </cell>
        </row>
        <row r="119">
          <cell r="A119" t="str">
            <v>Meldeschiene, Messschrank</v>
          </cell>
        </row>
        <row r="120">
          <cell r="A120" t="str">
            <v>Messeinrichtung</v>
          </cell>
        </row>
        <row r="121">
          <cell r="A121" t="str">
            <v>Meßschlitten</v>
          </cell>
        </row>
        <row r="122">
          <cell r="A122" t="str">
            <v>Mischbehälter</v>
          </cell>
        </row>
        <row r="123">
          <cell r="A123" t="str">
            <v>Montageplatz, Montieren</v>
          </cell>
        </row>
        <row r="124">
          <cell r="A124" t="str">
            <v>Niederspannungsverteiler-Schrank</v>
          </cell>
        </row>
        <row r="125">
          <cell r="A125" t="str">
            <v>Nieten</v>
          </cell>
        </row>
        <row r="126">
          <cell r="A126" t="str">
            <v>Not-Aus</v>
          </cell>
        </row>
        <row r="127">
          <cell r="A127" t="str">
            <v>Notaus Schiene</v>
          </cell>
        </row>
        <row r="128">
          <cell r="A128" t="str">
            <v>Not-Aus Schiene Trennblock</v>
          </cell>
        </row>
        <row r="129">
          <cell r="A129" t="str">
            <v>Paternoster</v>
          </cell>
        </row>
        <row r="130">
          <cell r="A130" t="str">
            <v>PE-Prüfstation</v>
          </cell>
        </row>
        <row r="131">
          <cell r="A131" t="str">
            <v>Plattenband</v>
          </cell>
        </row>
        <row r="132">
          <cell r="A132" t="str">
            <v>Positioniereinrichtung / Zentrierung</v>
          </cell>
        </row>
        <row r="133">
          <cell r="A133" t="str">
            <v>Power and Free Förderanlage</v>
          </cell>
        </row>
        <row r="134">
          <cell r="A134" t="str">
            <v>Powerrail Booster Schiene A/B</v>
          </cell>
        </row>
        <row r="135">
          <cell r="A135" t="str">
            <v>Powerrail Booster Trennblock,
Portal</v>
          </cell>
        </row>
        <row r="136">
          <cell r="A136" t="str">
            <v>Primerauftrag</v>
          </cell>
        </row>
        <row r="137">
          <cell r="A137" t="str">
            <v>Protokolldrucker</v>
          </cell>
        </row>
        <row r="138">
          <cell r="A138" t="str">
            <v>Prozessleine</v>
          </cell>
        </row>
        <row r="139">
          <cell r="A139" t="str">
            <v>Prüf Station / Ausschleusstation</v>
          </cell>
        </row>
        <row r="140">
          <cell r="A140" t="str">
            <v>Prüfen</v>
          </cell>
        </row>
        <row r="141">
          <cell r="A141" t="str">
            <v>Prüfstation</v>
          </cell>
        </row>
        <row r="142">
          <cell r="A142" t="str">
            <v>Puffer, Pufferförderer</v>
          </cell>
        </row>
        <row r="143">
          <cell r="A143" t="str">
            <v>Pumpe</v>
          </cell>
        </row>
        <row r="144">
          <cell r="A144" t="str">
            <v>Querkettenförderer</v>
          </cell>
        </row>
        <row r="145">
          <cell r="A145" t="str">
            <v>Radstandsverstelleinheit</v>
          </cell>
        </row>
        <row r="146">
          <cell r="A146" t="str">
            <v>Rechnerschrank</v>
          </cell>
        </row>
        <row r="147">
          <cell r="A147" t="str">
            <v>Regal</v>
          </cell>
        </row>
        <row r="148">
          <cell r="A148" t="str">
            <v>Roboter</v>
          </cell>
        </row>
        <row r="149">
          <cell r="A149" t="str">
            <v>Rollenbahn</v>
          </cell>
        </row>
        <row r="150">
          <cell r="A150" t="str">
            <v>Rollenbahn</v>
          </cell>
        </row>
        <row r="151">
          <cell r="A151" t="str">
            <v>Rollenförderer</v>
          </cell>
        </row>
        <row r="152">
          <cell r="A152" t="str">
            <v>Rollenumsetzstation</v>
          </cell>
        </row>
        <row r="153">
          <cell r="A153" t="str">
            <v>Rolltor</v>
          </cell>
        </row>
        <row r="154">
          <cell r="A154" t="str">
            <v>Rücklauf</v>
          </cell>
        </row>
        <row r="155">
          <cell r="A155" t="str">
            <v>Rührwerk</v>
          </cell>
        </row>
        <row r="156">
          <cell r="A156" t="str">
            <v>Schieneneinspeisungen (Segment)</v>
          </cell>
        </row>
        <row r="157">
          <cell r="A157" t="str">
            <v>Schleppförderer</v>
          </cell>
        </row>
        <row r="158">
          <cell r="A158" t="str">
            <v>Schrauber Controller</v>
          </cell>
        </row>
        <row r="159">
          <cell r="A159" t="str">
            <v>Schubantrieb</v>
          </cell>
        </row>
        <row r="160">
          <cell r="A160" t="str">
            <v>Schutzgas</v>
          </cell>
        </row>
        <row r="161">
          <cell r="A161" t="str">
            <v>Schutztür</v>
          </cell>
        </row>
        <row r="162">
          <cell r="A162" t="str">
            <v>Schutztürriegel</v>
          </cell>
        </row>
        <row r="163">
          <cell r="A163" t="str">
            <v>Schutzzaun</v>
          </cell>
        </row>
        <row r="164">
          <cell r="A164" t="str">
            <v>Schweisskoffer</v>
          </cell>
        </row>
        <row r="165">
          <cell r="A165" t="str">
            <v>Schweisszange</v>
          </cell>
        </row>
        <row r="166">
          <cell r="A166" t="str">
            <v>Schwenkplatte
Schwenkeinrichtung / Schwenkeinheit/Schwenktisch</v>
          </cell>
        </row>
        <row r="167">
          <cell r="A167" t="str">
            <v>Servoeinheit</v>
          </cell>
        </row>
        <row r="168">
          <cell r="A168" t="str">
            <v>Shuttle</v>
          </cell>
        </row>
        <row r="169">
          <cell r="A169" t="str">
            <v>Shuttle / transfer</v>
          </cell>
        </row>
        <row r="170">
          <cell r="A170" t="str">
            <v>Sicherheits Block (Fördertechnik)</v>
          </cell>
        </row>
        <row r="171">
          <cell r="A171" t="str">
            <v>Sicherheitsblock</v>
          </cell>
        </row>
        <row r="172">
          <cell r="A172" t="str">
            <v>Signalaustausch</v>
          </cell>
        </row>
        <row r="173">
          <cell r="A173" t="str">
            <v>Speicher Regal / Bauteilablage (ohne Wertschöpfung)</v>
          </cell>
        </row>
        <row r="174">
          <cell r="A174" t="str">
            <v>Sperre</v>
          </cell>
        </row>
        <row r="175">
          <cell r="A175" t="str">
            <v>Stauförderer</v>
          </cell>
        </row>
        <row r="176">
          <cell r="A176" t="str">
            <v>Staukette</v>
          </cell>
        </row>
        <row r="177">
          <cell r="A177" t="str">
            <v>Stellgerät general</v>
          </cell>
        </row>
        <row r="178">
          <cell r="A178" t="str">
            <v>Steuerschrank (evtl. inkl. Leistung)</v>
          </cell>
        </row>
        <row r="179">
          <cell r="A179" t="str">
            <v>Stopper (Fördertechnik)</v>
          </cell>
        </row>
        <row r="180">
          <cell r="A180" t="str">
            <v>Teleskopgabel
Gabel</v>
          </cell>
        </row>
        <row r="181">
          <cell r="A181" t="str">
            <v>Terminal f. Dateneingabe; Datensichtger.</v>
          </cell>
        </row>
        <row r="182">
          <cell r="A182" t="str">
            <v>Träger</v>
          </cell>
        </row>
        <row r="183">
          <cell r="A183" t="str">
            <v>Tragkettenförderer</v>
          </cell>
        </row>
        <row r="184">
          <cell r="A184" t="str">
            <v>Transfer</v>
          </cell>
        </row>
        <row r="185">
          <cell r="A185" t="str">
            <v>Trennblock</v>
          </cell>
        </row>
        <row r="186">
          <cell r="A186" t="str">
            <v>Trennblockkasten (Fördertechnik)</v>
          </cell>
        </row>
        <row r="187">
          <cell r="A187" t="str">
            <v>Trockner</v>
          </cell>
        </row>
        <row r="188">
          <cell r="A188" t="str">
            <v>Typerkennung</v>
          </cell>
        </row>
        <row r="189">
          <cell r="A189" t="str">
            <v>Umluft</v>
          </cell>
        </row>
        <row r="190">
          <cell r="A190" t="str">
            <v>Umsetzeinheit (Übersetzer)</v>
          </cell>
        </row>
        <row r="191">
          <cell r="A191" t="str">
            <v>Umsetzstation, Umsetzeinheit, Übersetzer</v>
          </cell>
        </row>
        <row r="192">
          <cell r="A192" t="str">
            <v>Umsetzzone</v>
          </cell>
        </row>
        <row r="193">
          <cell r="A193" t="str">
            <v>Unterverteiler</v>
          </cell>
        </row>
        <row r="194">
          <cell r="A194" t="str">
            <v>Unterverteiler 
Klemmkasten
Schaltkasten</v>
          </cell>
        </row>
        <row r="195">
          <cell r="A195" t="str">
            <v>Ventilschrank</v>
          </cell>
        </row>
        <row r="196">
          <cell r="A196" t="str">
            <v>Ver- /Entriegelungsstation</v>
          </cell>
        </row>
        <row r="197">
          <cell r="A197" t="str">
            <v>Vereinzelung</v>
          </cell>
        </row>
        <row r="198">
          <cell r="A198" t="str">
            <v>Verriegelung</v>
          </cell>
        </row>
        <row r="199">
          <cell r="A199" t="str">
            <v>Verschiebewagen</v>
          </cell>
        </row>
        <row r="200">
          <cell r="A200" t="str">
            <v>Verschiebewagen</v>
          </cell>
        </row>
        <row r="201">
          <cell r="A201" t="str">
            <v>Vertikal Förderer</v>
          </cell>
        </row>
        <row r="202">
          <cell r="A202" t="str">
            <v>Vorlauf</v>
          </cell>
        </row>
        <row r="203">
          <cell r="A203" t="str">
            <v>Warte Block (Fördertechnik)</v>
          </cell>
        </row>
        <row r="204">
          <cell r="A204" t="str">
            <v>Wartungseinheit</v>
          </cell>
        </row>
        <row r="205">
          <cell r="A205" t="str">
            <v>Wartungseinheit</v>
          </cell>
        </row>
        <row r="206">
          <cell r="A206" t="str">
            <v>Waschanlage</v>
          </cell>
        </row>
        <row r="207">
          <cell r="A207" t="str">
            <v>Weiche</v>
          </cell>
        </row>
        <row r="208">
          <cell r="A208" t="str">
            <v>Weiche (Fördertechnik)</v>
          </cell>
        </row>
        <row r="209">
          <cell r="A209" t="str">
            <v>Werkermitfahrband, Warteblock</v>
          </cell>
        </row>
        <row r="210">
          <cell r="A210" t="str">
            <v>Werkerplatz mit Tor, Scanner oder Licht-vorhang</v>
          </cell>
        </row>
        <row r="211">
          <cell r="A211" t="str">
            <v>Werkertor</v>
          </cell>
        </row>
        <row r="212">
          <cell r="A212" t="str">
            <v>Werkzeug (Fertigungsanlagen)</v>
          </cell>
        </row>
        <row r="213">
          <cell r="A213" t="str">
            <v>Werkzeug general</v>
          </cell>
        </row>
        <row r="214">
          <cell r="A214" t="str">
            <v>Werkzeugablage (Robotergreifer, Zangenbahnhof)</v>
          </cell>
        </row>
        <row r="215">
          <cell r="A215" t="str">
            <v>Werkzeugwechsler</v>
          </cell>
        </row>
        <row r="216">
          <cell r="A216" t="str">
            <v>Wippe</v>
          </cell>
        </row>
        <row r="217">
          <cell r="A217" t="str">
            <v>Zuführeinheit (Kokat, Bauteilrutschen,Vereinzelner, Bauteilwagen)</v>
          </cell>
        </row>
        <row r="218">
          <cell r="A218" t="str">
            <v>Zug- Hubeinrichtung</v>
          </cell>
        </row>
        <row r="219">
          <cell r="A219" t="str">
            <v>Zuluft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lled_by_requestor"/>
      <sheetName val="checklist_ requestor"/>
      <sheetName val="Filled_by_IT"/>
      <sheetName val="TEL_REQU"/>
      <sheetName val="SEQ_REQU"/>
      <sheetName val="IPSRDATA"/>
      <sheetName val="IPS_DATA"/>
      <sheetName val="TRIG_PNT"/>
      <sheetName val="TRIG_PNT_empty"/>
      <sheetName val="IPS_MOVE"/>
      <sheetName val="PING_IPS"/>
      <sheetName val="PING_PLC"/>
      <sheetName val="SPS_DATA_VINRSULT"/>
      <sheetName val="SPS_DATA_RAXLEDIF"/>
      <sheetName val="SPS_DATA_ZUORMOGE"/>
      <sheetName val="Errorcodes"/>
      <sheetName val="History-Contact"/>
    </sheetNames>
    <sheetDataSet>
      <sheetData sheetId="0">
        <row r="13">
          <cell r="H13" t="str">
            <v>TMOAKZ01</v>
          </cell>
        </row>
        <row r="22">
          <cell r="C22" t="str">
            <v>IPSL0610</v>
          </cell>
          <cell r="G22">
            <v>61</v>
          </cell>
          <cell r="K22" t="str">
            <v>FG</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rgb="FFFFFF00"/>
  </sheetPr>
  <dimension ref="A1:AG78"/>
  <sheetViews>
    <sheetView showGridLines="0" zoomScale="80" zoomScaleNormal="80" zoomScaleSheetLayoutView="80" workbookViewId="0">
      <pane ySplit="5" topLeftCell="A57" activePane="bottomLeft" state="frozen"/>
      <selection activeCell="A3" sqref="A3:C4"/>
      <selection pane="bottomLeft" activeCell="K62" sqref="K62"/>
    </sheetView>
  </sheetViews>
  <sheetFormatPr baseColWidth="10" defaultRowHeight="13.2" outlineLevelRow="1" x14ac:dyDescent="0.25"/>
  <cols>
    <col min="1" max="1" width="4" customWidth="1"/>
    <col min="2" max="2" width="11.44140625" style="83"/>
    <col min="3" max="3" width="12.109375" customWidth="1"/>
    <col min="4" max="4" width="8.88671875" customWidth="1"/>
    <col min="5" max="5" width="2.33203125" style="83" customWidth="1"/>
    <col min="6" max="6" width="11.44140625" customWidth="1"/>
    <col min="8" max="8" width="11.44140625" customWidth="1"/>
    <col min="9" max="9" width="2.33203125" style="83" customWidth="1"/>
    <col min="12" max="12" width="11.33203125" customWidth="1"/>
    <col min="13" max="13" width="3" style="83" customWidth="1"/>
    <col min="14" max="14" width="11.6640625" customWidth="1"/>
    <col min="15" max="15" width="5.109375" style="83" customWidth="1"/>
    <col min="16" max="16" width="3.109375" customWidth="1"/>
    <col min="17" max="17" width="3.109375" style="83" customWidth="1"/>
    <col min="18" max="18" width="25.33203125" customWidth="1"/>
    <col min="19" max="21" width="10.109375" customWidth="1"/>
    <col min="22" max="22" width="10.33203125" customWidth="1"/>
    <col min="23" max="23" width="10.109375" customWidth="1"/>
    <col min="24" max="24" width="10" customWidth="1"/>
    <col min="25" max="25" width="10.33203125" customWidth="1"/>
    <col min="26" max="26" width="12.33203125" customWidth="1"/>
    <col min="27" max="27" width="12.44140625" customWidth="1"/>
    <col min="28" max="28" width="12.44140625" style="83" customWidth="1"/>
    <col min="29" max="30" width="12" style="83" customWidth="1"/>
    <col min="31" max="31" width="11.88671875" customWidth="1"/>
    <col min="32" max="32" width="11.88671875" style="83" customWidth="1"/>
    <col min="33" max="33" width="3.44140625" customWidth="1"/>
  </cols>
  <sheetData>
    <row r="1" spans="1:33" s="83" customFormat="1" ht="8.25" customHeight="1" x14ac:dyDescent="0.25">
      <c r="Q1" s="451"/>
    </row>
    <row r="2" spans="1:33" s="83" customFormat="1" ht="12" customHeight="1" x14ac:dyDescent="0.25">
      <c r="Q2" s="450"/>
    </row>
    <row r="3" spans="1:33" s="83" customFormat="1" ht="42" customHeight="1" x14ac:dyDescent="0.25">
      <c r="C3" s="650" t="s">
        <v>286</v>
      </c>
      <c r="D3" s="650"/>
      <c r="E3" s="650"/>
      <c r="F3" s="650"/>
      <c r="G3" s="650"/>
      <c r="H3" s="650"/>
      <c r="I3" s="650"/>
      <c r="J3" s="650"/>
      <c r="K3" s="650"/>
      <c r="L3" s="650"/>
      <c r="M3" s="650"/>
      <c r="N3" s="650"/>
      <c r="O3" s="650"/>
      <c r="Q3" s="628"/>
      <c r="R3" s="628"/>
      <c r="S3" s="628"/>
      <c r="T3" s="628"/>
      <c r="U3" s="628"/>
      <c r="V3" s="628"/>
      <c r="W3" s="628"/>
      <c r="X3" s="628"/>
      <c r="Y3" s="628"/>
      <c r="Z3" s="628"/>
      <c r="AA3" s="628"/>
      <c r="AB3" s="628"/>
      <c r="AC3" s="628"/>
      <c r="AD3" s="628"/>
      <c r="AE3" s="628"/>
      <c r="AF3" s="461"/>
    </row>
    <row r="4" spans="1:33" s="272" customFormat="1" ht="24" customHeight="1" x14ac:dyDescent="0.25">
      <c r="C4" s="276" t="str">
        <f>C11</f>
        <v>Description and  Ticket Number or TPA/ Anlagenbeschreibung und Ticketnummer oder TPA (falls verfügbar)</v>
      </c>
      <c r="Q4" s="628"/>
      <c r="R4" s="628"/>
      <c r="S4" s="628"/>
      <c r="T4" s="628"/>
      <c r="U4" s="628"/>
      <c r="V4" s="628"/>
      <c r="W4" s="628"/>
      <c r="X4" s="628"/>
      <c r="Y4" s="628"/>
      <c r="Z4" s="628"/>
      <c r="AA4" s="628"/>
      <c r="AB4" s="628"/>
      <c r="AC4" s="628"/>
      <c r="AD4" s="628"/>
      <c r="AE4" s="628"/>
      <c r="AF4" s="461"/>
    </row>
    <row r="5" spans="1:33" s="83" customFormat="1" ht="3" customHeight="1" x14ac:dyDescent="0.25">
      <c r="A5" s="105"/>
      <c r="B5" s="105"/>
      <c r="C5" s="105"/>
      <c r="D5" s="105"/>
      <c r="E5" s="105"/>
      <c r="F5" s="105"/>
      <c r="G5" s="105"/>
      <c r="H5" s="105"/>
      <c r="I5" s="105"/>
      <c r="J5" s="105"/>
      <c r="K5" s="105"/>
      <c r="L5" s="105"/>
      <c r="M5" s="105"/>
      <c r="N5" s="105"/>
      <c r="O5" s="105"/>
      <c r="P5" s="94"/>
      <c r="Q5" s="94"/>
    </row>
    <row r="6" spans="1:33" x14ac:dyDescent="0.25">
      <c r="B6" s="94"/>
      <c r="D6" s="94"/>
      <c r="E6" s="94"/>
      <c r="F6" s="94"/>
      <c r="G6" s="94"/>
      <c r="H6" s="94"/>
      <c r="I6" s="94"/>
      <c r="J6" s="94"/>
      <c r="K6" s="94"/>
      <c r="L6" s="94"/>
      <c r="M6" s="94"/>
      <c r="N6" s="94"/>
      <c r="O6" s="94"/>
      <c r="P6" s="94"/>
      <c r="Q6" s="94"/>
    </row>
    <row r="7" spans="1:33" s="83" customFormat="1" ht="15.6" x14ac:dyDescent="0.3">
      <c r="B7" s="113" t="s">
        <v>284</v>
      </c>
      <c r="C7" s="108"/>
      <c r="D7" s="94"/>
      <c r="E7" s="94"/>
      <c r="F7" s="94"/>
      <c r="G7" s="94"/>
      <c r="H7" s="94"/>
      <c r="I7" s="94"/>
      <c r="J7" s="94"/>
      <c r="K7" s="94"/>
      <c r="L7" s="94"/>
      <c r="M7" s="94"/>
      <c r="N7" s="94"/>
      <c r="O7" s="94"/>
      <c r="R7" s="113" t="s">
        <v>264</v>
      </c>
    </row>
    <row r="8" spans="1:33" ht="21" customHeight="1" outlineLevel="1" x14ac:dyDescent="0.25">
      <c r="B8" s="128"/>
      <c r="C8" s="129"/>
      <c r="D8" s="129"/>
      <c r="E8" s="129"/>
      <c r="F8" s="129"/>
      <c r="G8" s="129"/>
      <c r="H8" s="129"/>
      <c r="I8" s="129"/>
      <c r="J8" s="129"/>
      <c r="K8" s="129"/>
      <c r="L8" s="129"/>
      <c r="M8" s="129"/>
      <c r="N8" s="129"/>
      <c r="O8" s="130"/>
      <c r="Q8" s="277"/>
      <c r="R8" s="278" t="s">
        <v>274</v>
      </c>
      <c r="S8" s="279"/>
      <c r="T8" s="279"/>
      <c r="U8" s="279"/>
      <c r="V8" s="279"/>
      <c r="W8" s="279"/>
      <c r="X8" s="279"/>
      <c r="Y8" s="279"/>
      <c r="Z8" s="279"/>
      <c r="AA8" s="279"/>
      <c r="AB8" s="279"/>
      <c r="AC8" s="279"/>
      <c r="AD8" s="279"/>
      <c r="AE8" s="279"/>
      <c r="AF8" s="279"/>
      <c r="AG8" s="280"/>
    </row>
    <row r="9" spans="1:33" ht="25.5" customHeight="1" outlineLevel="1" x14ac:dyDescent="0.25">
      <c r="B9" s="131"/>
      <c r="C9" s="265"/>
      <c r="D9" s="132"/>
      <c r="E9" s="132"/>
      <c r="F9" s="636"/>
      <c r="G9" s="637"/>
      <c r="H9" s="132"/>
      <c r="I9" s="132"/>
      <c r="J9" s="112"/>
      <c r="K9" s="132"/>
      <c r="L9" s="641"/>
      <c r="M9" s="642"/>
      <c r="N9" s="132"/>
      <c r="O9" s="133"/>
      <c r="Q9" s="281"/>
      <c r="R9" s="658" t="s">
        <v>288</v>
      </c>
      <c r="S9" s="658"/>
      <c r="T9" s="658"/>
      <c r="U9" s="658"/>
      <c r="V9" s="658"/>
      <c r="W9" s="658"/>
      <c r="X9" s="658"/>
      <c r="Y9" s="658"/>
      <c r="Z9" s="658"/>
      <c r="AA9" s="658"/>
      <c r="AB9" s="658"/>
      <c r="AC9" s="658"/>
      <c r="AD9" s="658"/>
      <c r="AE9" s="658"/>
      <c r="AF9" s="460"/>
      <c r="AG9" s="282"/>
    </row>
    <row r="10" spans="1:33" ht="24.75" customHeight="1" outlineLevel="1" x14ac:dyDescent="0.25">
      <c r="B10" s="131"/>
      <c r="C10" s="173" t="s">
        <v>168</v>
      </c>
      <c r="D10" s="132"/>
      <c r="E10" s="132"/>
      <c r="F10" s="173" t="s">
        <v>307</v>
      </c>
      <c r="G10" s="132"/>
      <c r="H10" s="132"/>
      <c r="I10" s="132"/>
      <c r="J10" s="173" t="s">
        <v>169</v>
      </c>
      <c r="K10" s="132"/>
      <c r="L10" s="173" t="s">
        <v>170</v>
      </c>
      <c r="M10" s="107"/>
      <c r="N10" s="132"/>
      <c r="O10" s="133"/>
      <c r="Q10" s="281"/>
      <c r="R10" s="298" t="s">
        <v>315</v>
      </c>
      <c r="S10" s="283"/>
      <c r="T10" s="283"/>
      <c r="U10" s="283"/>
      <c r="V10" s="283"/>
      <c r="W10" s="283"/>
      <c r="X10" s="283"/>
      <c r="Y10" s="283"/>
      <c r="Z10" s="283"/>
      <c r="AA10" s="283"/>
      <c r="AB10" s="283"/>
      <c r="AC10" s="283"/>
      <c r="AD10" s="283"/>
      <c r="AE10" s="283"/>
      <c r="AF10" s="283"/>
      <c r="AG10" s="282"/>
    </row>
    <row r="11" spans="1:33" ht="30" customHeight="1" outlineLevel="1" x14ac:dyDescent="0.25">
      <c r="B11" s="131"/>
      <c r="C11" s="643" t="s">
        <v>329</v>
      </c>
      <c r="D11" s="644"/>
      <c r="E11" s="644"/>
      <c r="F11" s="644"/>
      <c r="G11" s="644"/>
      <c r="H11" s="644"/>
      <c r="I11" s="644"/>
      <c r="J11" s="644"/>
      <c r="K11" s="644"/>
      <c r="L11" s="644"/>
      <c r="M11" s="645"/>
      <c r="N11" s="132"/>
      <c r="O11" s="133"/>
      <c r="Q11" s="281"/>
      <c r="R11" s="287"/>
      <c r="S11" s="274" t="s">
        <v>283</v>
      </c>
      <c r="T11" s="274" t="s">
        <v>282</v>
      </c>
      <c r="U11" s="274" t="s">
        <v>281</v>
      </c>
      <c r="V11" s="274" t="s">
        <v>280</v>
      </c>
      <c r="W11" s="274" t="s">
        <v>279</v>
      </c>
      <c r="X11" s="274" t="s">
        <v>278</v>
      </c>
      <c r="Y11" s="275" t="s">
        <v>277</v>
      </c>
      <c r="Z11" s="274" t="s">
        <v>276</v>
      </c>
      <c r="AA11" s="274" t="s">
        <v>410</v>
      </c>
      <c r="AB11" s="457" t="s">
        <v>414</v>
      </c>
      <c r="AC11" s="274" t="s">
        <v>275</v>
      </c>
      <c r="AD11" s="274" t="s">
        <v>313</v>
      </c>
      <c r="AE11" s="275" t="s">
        <v>409</v>
      </c>
      <c r="AF11" s="275" t="s">
        <v>423</v>
      </c>
      <c r="AG11" s="282"/>
    </row>
    <row r="12" spans="1:33" ht="24" customHeight="1" outlineLevel="1" x14ac:dyDescent="0.25">
      <c r="B12" s="131"/>
      <c r="C12" s="173" t="s">
        <v>309</v>
      </c>
      <c r="D12" s="132"/>
      <c r="E12" s="132"/>
      <c r="F12" s="132"/>
      <c r="G12" s="132"/>
      <c r="H12" s="132"/>
      <c r="I12" s="132"/>
      <c r="J12" s="132"/>
      <c r="K12" s="132"/>
      <c r="L12" s="132"/>
      <c r="M12" s="132"/>
      <c r="N12" s="132"/>
      <c r="O12" s="133"/>
      <c r="Q12" s="281"/>
      <c r="R12" s="289" t="s">
        <v>317</v>
      </c>
      <c r="S12" s="289" t="s">
        <v>270</v>
      </c>
      <c r="T12" s="289" t="s">
        <v>256</v>
      </c>
      <c r="U12" s="289" t="s">
        <v>272</v>
      </c>
      <c r="V12" s="289" t="s">
        <v>287</v>
      </c>
      <c r="W12" s="290" t="s">
        <v>269</v>
      </c>
      <c r="X12" s="290" t="s">
        <v>268</v>
      </c>
      <c r="Y12" s="289" t="s">
        <v>311</v>
      </c>
      <c r="Z12" s="289" t="s">
        <v>260</v>
      </c>
      <c r="AA12" s="289" t="s">
        <v>261</v>
      </c>
      <c r="AB12" s="289" t="s">
        <v>408</v>
      </c>
      <c r="AC12" s="289" t="s">
        <v>262</v>
      </c>
      <c r="AD12" s="289" t="s">
        <v>314</v>
      </c>
      <c r="AE12" s="289" t="s">
        <v>411</v>
      </c>
      <c r="AF12" s="289" t="s">
        <v>411</v>
      </c>
      <c r="AG12" s="282"/>
    </row>
    <row r="13" spans="1:33" ht="30" customHeight="1" outlineLevel="1" x14ac:dyDescent="0.3">
      <c r="B13" s="131"/>
      <c r="C13" s="638"/>
      <c r="D13" s="639"/>
      <c r="E13" s="639"/>
      <c r="F13" s="640"/>
      <c r="G13" s="132"/>
      <c r="H13" s="648" t="s">
        <v>318</v>
      </c>
      <c r="I13" s="649"/>
      <c r="J13" s="132"/>
      <c r="K13" s="646"/>
      <c r="L13" s="647"/>
      <c r="M13" s="637"/>
      <c r="N13" s="132"/>
      <c r="O13" s="133"/>
      <c r="Q13" s="281"/>
      <c r="R13" s="289" t="s">
        <v>192</v>
      </c>
      <c r="S13" s="291" t="s">
        <v>271</v>
      </c>
      <c r="T13" s="292">
        <v>24</v>
      </c>
      <c r="U13" s="292" t="s">
        <v>266</v>
      </c>
      <c r="V13" s="292">
        <v>61</v>
      </c>
      <c r="W13" s="292">
        <v>50</v>
      </c>
      <c r="X13" s="292" t="s">
        <v>265</v>
      </c>
      <c r="Y13" s="292">
        <v>10</v>
      </c>
      <c r="Z13" s="292">
        <v>71</v>
      </c>
      <c r="AA13" s="292">
        <v>71</v>
      </c>
      <c r="AB13" s="292">
        <v>71</v>
      </c>
      <c r="AC13" s="292">
        <v>72</v>
      </c>
      <c r="AD13" s="292">
        <v>35</v>
      </c>
      <c r="AE13" s="292">
        <v>30</v>
      </c>
      <c r="AF13" s="292">
        <v>50</v>
      </c>
      <c r="AG13" s="282"/>
    </row>
    <row r="14" spans="1:33" ht="30.75" customHeight="1" outlineLevel="1" x14ac:dyDescent="0.25">
      <c r="B14" s="131"/>
      <c r="C14" s="173" t="s">
        <v>413</v>
      </c>
      <c r="D14" s="132"/>
      <c r="E14" s="132"/>
      <c r="F14" s="132"/>
      <c r="G14" s="132"/>
      <c r="H14" s="173" t="s">
        <v>306</v>
      </c>
      <c r="I14" s="107"/>
      <c r="J14" s="132"/>
      <c r="K14" s="173" t="s">
        <v>177</v>
      </c>
      <c r="L14" s="173"/>
      <c r="M14" s="107"/>
      <c r="N14" s="132"/>
      <c r="O14" s="133"/>
      <c r="Q14" s="281"/>
      <c r="R14" s="290" t="s">
        <v>316</v>
      </c>
      <c r="S14" s="291" t="s">
        <v>30</v>
      </c>
      <c r="T14" s="291" t="s">
        <v>30</v>
      </c>
      <c r="U14" s="291" t="s">
        <v>30</v>
      </c>
      <c r="V14" s="291" t="s">
        <v>30</v>
      </c>
      <c r="W14" s="291" t="s">
        <v>30</v>
      </c>
      <c r="X14" s="291" t="s">
        <v>30</v>
      </c>
      <c r="Y14" s="291" t="s">
        <v>30</v>
      </c>
      <c r="Z14" s="291" t="s">
        <v>30</v>
      </c>
      <c r="AA14" s="291" t="s">
        <v>30</v>
      </c>
      <c r="AB14" s="291" t="s">
        <v>30</v>
      </c>
      <c r="AC14" s="291" t="s">
        <v>30</v>
      </c>
      <c r="AD14" s="291" t="s">
        <v>30</v>
      </c>
      <c r="AE14" s="291" t="s">
        <v>30</v>
      </c>
      <c r="AF14" s="291" t="s">
        <v>30</v>
      </c>
      <c r="AG14" s="282"/>
    </row>
    <row r="15" spans="1:33" outlineLevel="1" x14ac:dyDescent="0.25">
      <c r="B15" s="131"/>
      <c r="C15" s="132"/>
      <c r="D15" s="132"/>
      <c r="E15" s="132"/>
      <c r="F15" s="132"/>
      <c r="G15" s="132"/>
      <c r="H15" s="132"/>
      <c r="I15" s="132"/>
      <c r="J15" s="132"/>
      <c r="K15" s="132"/>
      <c r="L15" s="132"/>
      <c r="M15" s="132"/>
      <c r="N15" s="132"/>
      <c r="O15" s="133"/>
      <c r="Q15" s="281"/>
      <c r="R15" s="290" t="s">
        <v>369</v>
      </c>
      <c r="S15" s="289" t="s">
        <v>273</v>
      </c>
      <c r="T15" s="289" t="s">
        <v>273</v>
      </c>
      <c r="U15" s="289" t="s">
        <v>273</v>
      </c>
      <c r="V15" s="289" t="s">
        <v>273</v>
      </c>
      <c r="W15" s="289" t="s">
        <v>273</v>
      </c>
      <c r="X15" s="289" t="s">
        <v>273</v>
      </c>
      <c r="Y15" s="289" t="s">
        <v>273</v>
      </c>
      <c r="Z15" s="289" t="s">
        <v>273</v>
      </c>
      <c r="AA15" s="289" t="s">
        <v>273</v>
      </c>
      <c r="AB15" s="289" t="s">
        <v>273</v>
      </c>
      <c r="AC15" s="289" t="s">
        <v>273</v>
      </c>
      <c r="AD15" s="289" t="s">
        <v>273</v>
      </c>
      <c r="AE15" s="289" t="s">
        <v>273</v>
      </c>
      <c r="AF15" s="289" t="s">
        <v>424</v>
      </c>
      <c r="AG15" s="282"/>
    </row>
    <row r="16" spans="1:33" outlineLevel="1" x14ac:dyDescent="0.25">
      <c r="B16" s="131"/>
      <c r="C16" s="134" t="s">
        <v>173</v>
      </c>
      <c r="D16" s="273" t="s">
        <v>258</v>
      </c>
      <c r="E16" s="111" t="s">
        <v>166</v>
      </c>
      <c r="F16" s="135"/>
      <c r="G16" s="267" t="s">
        <v>174</v>
      </c>
      <c r="H16" s="107" t="s">
        <v>167</v>
      </c>
      <c r="I16" s="111" t="s">
        <v>166</v>
      </c>
      <c r="J16" s="132"/>
      <c r="K16" s="134" t="s">
        <v>171</v>
      </c>
      <c r="L16" s="107" t="s">
        <v>175</v>
      </c>
      <c r="M16" s="111"/>
      <c r="N16" s="132"/>
      <c r="O16" s="133"/>
      <c r="Q16" s="281"/>
      <c r="R16" s="283"/>
      <c r="S16" s="283"/>
      <c r="T16" s="283"/>
      <c r="U16" s="283"/>
      <c r="V16" s="283"/>
      <c r="W16" s="283"/>
      <c r="X16" s="283"/>
      <c r="Y16" s="283"/>
      <c r="Z16" s="283"/>
      <c r="AA16" s="283"/>
      <c r="AB16" s="283"/>
      <c r="AC16" s="283"/>
      <c r="AD16" s="283"/>
      <c r="AE16" s="283"/>
      <c r="AF16" s="283"/>
      <c r="AG16" s="282"/>
    </row>
    <row r="17" spans="2:33" ht="12" customHeight="1" outlineLevel="1" x14ac:dyDescent="0.25">
      <c r="B17" s="131"/>
      <c r="C17" s="134" t="s">
        <v>172</v>
      </c>
      <c r="D17" s="107" t="s">
        <v>259</v>
      </c>
      <c r="E17" s="135"/>
      <c r="F17" s="135"/>
      <c r="G17" s="132"/>
      <c r="H17" s="107"/>
      <c r="I17" s="132"/>
      <c r="J17" s="132"/>
      <c r="K17" s="132"/>
      <c r="L17" s="107" t="s">
        <v>257</v>
      </c>
      <c r="M17" s="110"/>
      <c r="N17" s="132"/>
      <c r="O17" s="133"/>
      <c r="Q17" s="281"/>
      <c r="R17" s="283"/>
      <c r="S17" s="283"/>
      <c r="T17" s="283"/>
      <c r="U17" s="283"/>
      <c r="V17" s="283"/>
      <c r="W17" s="283"/>
      <c r="X17" s="283"/>
      <c r="Y17" s="283"/>
      <c r="Z17" s="283"/>
      <c r="AA17" s="283"/>
      <c r="AB17" s="283"/>
      <c r="AC17" s="283"/>
      <c r="AD17" s="283"/>
      <c r="AE17" s="283"/>
      <c r="AF17" s="283"/>
      <c r="AG17" s="282"/>
    </row>
    <row r="18" spans="2:33" outlineLevel="1" x14ac:dyDescent="0.25">
      <c r="B18" s="131"/>
      <c r="C18" s="132"/>
      <c r="D18" s="107"/>
      <c r="E18" s="135"/>
      <c r="F18" s="135"/>
      <c r="G18" s="132"/>
      <c r="H18" s="132"/>
      <c r="I18" s="132"/>
      <c r="J18" s="132"/>
      <c r="K18" s="132"/>
      <c r="L18" s="132"/>
      <c r="M18" s="132"/>
      <c r="N18" s="132"/>
      <c r="O18" s="133"/>
      <c r="Q18" s="281"/>
      <c r="R18" s="283"/>
      <c r="S18" s="283"/>
      <c r="T18" s="283"/>
      <c r="U18" s="283"/>
      <c r="V18" s="283"/>
      <c r="W18" s="283"/>
      <c r="X18" s="283"/>
      <c r="Y18" s="283"/>
      <c r="Z18" s="283"/>
      <c r="AA18" s="283"/>
      <c r="AB18" s="283"/>
      <c r="AC18" s="283"/>
      <c r="AD18" s="283"/>
      <c r="AE18" s="283"/>
      <c r="AF18" s="283"/>
      <c r="AG18" s="282"/>
    </row>
    <row r="19" spans="2:33" outlineLevel="1" x14ac:dyDescent="0.25">
      <c r="B19" s="136"/>
      <c r="C19" s="137"/>
      <c r="D19" s="138"/>
      <c r="E19" s="139"/>
      <c r="F19" s="139"/>
      <c r="G19" s="137"/>
      <c r="H19" s="137"/>
      <c r="I19" s="137"/>
      <c r="J19" s="137"/>
      <c r="K19" s="137"/>
      <c r="L19" s="137"/>
      <c r="M19" s="137"/>
      <c r="N19" s="137"/>
      <c r="O19" s="140"/>
      <c r="Q19" s="285"/>
      <c r="R19" s="286"/>
      <c r="S19" s="286"/>
      <c r="T19" s="286"/>
      <c r="U19" s="286"/>
      <c r="V19" s="286"/>
      <c r="W19" s="286"/>
      <c r="X19" s="286"/>
      <c r="Y19" s="286"/>
      <c r="Z19" s="286"/>
      <c r="AA19" s="286"/>
      <c r="AB19" s="286"/>
      <c r="AC19" s="286"/>
      <c r="AD19" s="286"/>
      <c r="AE19" s="286"/>
      <c r="AF19" s="286"/>
      <c r="AG19" s="284"/>
    </row>
    <row r="20" spans="2:33" s="109" customFormat="1" outlineLevel="1" x14ac:dyDescent="0.25">
      <c r="D20" s="116"/>
      <c r="E20" s="115"/>
      <c r="F20" s="115"/>
      <c r="H20" s="115"/>
    </row>
    <row r="21" spans="2:33" s="109" customFormat="1" ht="17.25" customHeight="1" outlineLevel="1" x14ac:dyDescent="0.25">
      <c r="B21" s="128"/>
      <c r="C21" s="129"/>
      <c r="D21" s="129"/>
      <c r="E21" s="129"/>
      <c r="F21" s="129"/>
      <c r="G21" s="129"/>
      <c r="H21" s="129"/>
      <c r="I21" s="129"/>
      <c r="J21" s="129"/>
      <c r="K21" s="129"/>
      <c r="L21" s="129"/>
      <c r="M21" s="129"/>
      <c r="N21" s="129"/>
      <c r="O21" s="130"/>
      <c r="Q21" s="277"/>
      <c r="R21" s="318" t="s">
        <v>298</v>
      </c>
      <c r="S21" s="279"/>
      <c r="T21" s="279"/>
      <c r="U21" s="279"/>
      <c r="V21" s="279"/>
      <c r="W21" s="279"/>
      <c r="X21" s="279"/>
      <c r="Y21" s="279"/>
      <c r="Z21" s="279"/>
      <c r="AA21" s="279"/>
      <c r="AB21" s="279"/>
      <c r="AC21" s="279"/>
      <c r="AD21" s="279"/>
      <c r="AE21" s="279"/>
      <c r="AF21" s="279"/>
      <c r="AG21" s="280"/>
    </row>
    <row r="22" spans="2:33" s="83" customFormat="1" ht="30" customHeight="1" outlineLevel="1" x14ac:dyDescent="0.3">
      <c r="B22" s="131"/>
      <c r="C22" s="271" t="s">
        <v>270</v>
      </c>
      <c r="D22" s="107"/>
      <c r="E22" s="135"/>
      <c r="F22" s="135"/>
      <c r="G22" s="268">
        <v>11</v>
      </c>
      <c r="H22" s="135"/>
      <c r="I22" s="132"/>
      <c r="J22" s="132"/>
      <c r="K22" s="270" t="s">
        <v>514</v>
      </c>
      <c r="L22" s="132"/>
      <c r="M22" s="132"/>
      <c r="N22" s="132"/>
      <c r="O22" s="133"/>
      <c r="Q22" s="281"/>
      <c r="R22" s="658" t="s">
        <v>300</v>
      </c>
      <c r="S22" s="658"/>
      <c r="T22" s="658"/>
      <c r="U22" s="283"/>
      <c r="V22" s="283"/>
      <c r="W22" s="283"/>
      <c r="X22" s="283"/>
      <c r="Y22" s="283"/>
      <c r="Z22" s="283"/>
      <c r="AA22" s="283"/>
      <c r="AB22" s="283"/>
      <c r="AC22" s="283"/>
      <c r="AD22" s="283"/>
      <c r="AE22" s="283"/>
      <c r="AF22" s="283"/>
      <c r="AG22" s="282"/>
    </row>
    <row r="23" spans="2:33" s="83" customFormat="1" ht="18.75" customHeight="1" outlineLevel="1" x14ac:dyDescent="0.25">
      <c r="B23" s="131"/>
      <c r="C23" s="173" t="s">
        <v>191</v>
      </c>
      <c r="D23" s="107"/>
      <c r="E23" s="135"/>
      <c r="F23" s="135"/>
      <c r="G23" s="374" t="s">
        <v>263</v>
      </c>
      <c r="H23" s="135"/>
      <c r="I23" s="132"/>
      <c r="J23" s="132"/>
      <c r="K23" s="173" t="s">
        <v>295</v>
      </c>
      <c r="L23" s="132"/>
      <c r="M23" s="132"/>
      <c r="N23" s="132"/>
      <c r="O23" s="133"/>
      <c r="Q23" s="281"/>
      <c r="R23" s="658"/>
      <c r="S23" s="658"/>
      <c r="T23" s="658"/>
      <c r="U23" s="283"/>
      <c r="V23" s="317"/>
      <c r="W23" s="283"/>
      <c r="X23" s="283"/>
      <c r="Y23" s="283"/>
      <c r="Z23" s="283"/>
      <c r="AA23" s="283"/>
      <c r="AB23" s="283"/>
      <c r="AC23" s="283"/>
      <c r="AD23" s="283"/>
      <c r="AE23" s="283"/>
      <c r="AF23" s="283"/>
      <c r="AG23" s="282"/>
    </row>
    <row r="24" spans="2:33" s="83" customFormat="1" outlineLevel="1" x14ac:dyDescent="0.25">
      <c r="B24" s="136"/>
      <c r="C24" s="138"/>
      <c r="D24" s="138"/>
      <c r="E24" s="139"/>
      <c r="F24" s="139"/>
      <c r="G24" s="139"/>
      <c r="H24" s="139"/>
      <c r="I24" s="137"/>
      <c r="J24" s="137"/>
      <c r="K24" s="138"/>
      <c r="L24" s="137"/>
      <c r="M24" s="137"/>
      <c r="N24" s="137"/>
      <c r="O24" s="140"/>
      <c r="Q24" s="285"/>
      <c r="R24" s="660"/>
      <c r="S24" s="660"/>
      <c r="T24" s="660"/>
      <c r="U24" s="286"/>
      <c r="V24" s="286"/>
      <c r="W24" s="286"/>
      <c r="X24" s="286"/>
      <c r="Y24" s="286"/>
      <c r="Z24" s="286"/>
      <c r="AA24" s="286"/>
      <c r="AB24" s="286"/>
      <c r="AC24" s="286"/>
      <c r="AD24" s="286"/>
      <c r="AE24" s="286"/>
      <c r="AF24" s="286"/>
      <c r="AG24" s="284"/>
    </row>
    <row r="25" spans="2:33" s="109" customFormat="1" outlineLevel="1" x14ac:dyDescent="0.25">
      <c r="D25" s="116"/>
      <c r="E25" s="114"/>
      <c r="F25" s="115"/>
      <c r="H25" s="115"/>
    </row>
    <row r="26" spans="2:33" s="83" customFormat="1" ht="19.5" customHeight="1" outlineLevel="1" x14ac:dyDescent="0.25">
      <c r="B26" s="128"/>
      <c r="C26" s="319" t="s">
        <v>267</v>
      </c>
      <c r="D26" s="129"/>
      <c r="E26" s="129"/>
      <c r="F26" s="129"/>
      <c r="G26" s="129"/>
      <c r="H26" s="129"/>
      <c r="I26" s="129"/>
      <c r="J26" s="129"/>
      <c r="K26" s="129"/>
      <c r="L26" s="129"/>
      <c r="M26" s="129"/>
      <c r="N26" s="129"/>
      <c r="O26" s="130"/>
      <c r="Q26" s="277"/>
      <c r="R26" s="278" t="s">
        <v>366</v>
      </c>
      <c r="S26" s="279"/>
      <c r="T26" s="279"/>
      <c r="U26" s="279"/>
      <c r="V26" s="279"/>
      <c r="W26" s="279"/>
      <c r="X26" s="279"/>
      <c r="Y26" s="278" t="s">
        <v>297</v>
      </c>
      <c r="Z26" s="279"/>
      <c r="AA26" s="279"/>
      <c r="AB26" s="279"/>
      <c r="AC26" s="279"/>
      <c r="AD26" s="279"/>
      <c r="AE26" s="279"/>
      <c r="AF26" s="279"/>
      <c r="AG26" s="280"/>
    </row>
    <row r="27" spans="2:33" s="83" customFormat="1" ht="12.75" customHeight="1" outlineLevel="1" x14ac:dyDescent="0.25">
      <c r="B27" s="131"/>
      <c r="C27" s="134"/>
      <c r="D27" s="132"/>
      <c r="E27" s="132"/>
      <c r="F27" s="132"/>
      <c r="G27" s="132"/>
      <c r="H27" s="132"/>
      <c r="I27" s="132"/>
      <c r="J27" s="132"/>
      <c r="K27" s="132"/>
      <c r="L27" s="132"/>
      <c r="M27" s="132"/>
      <c r="N27" s="132"/>
      <c r="O27" s="133"/>
      <c r="Q27" s="281"/>
      <c r="R27" s="656" t="s">
        <v>376</v>
      </c>
      <c r="S27" s="656"/>
      <c r="T27" s="656"/>
      <c r="U27" s="656"/>
      <c r="V27" s="656"/>
      <c r="W27" s="316"/>
      <c r="X27" s="316"/>
      <c r="Y27" s="316" t="s">
        <v>349</v>
      </c>
      <c r="Z27" s="316"/>
      <c r="AA27" s="316"/>
      <c r="AB27" s="316"/>
      <c r="AC27" s="316"/>
      <c r="AD27" s="316"/>
      <c r="AE27" s="316"/>
      <c r="AF27" s="316"/>
      <c r="AG27" s="282"/>
    </row>
    <row r="28" spans="2:33" s="83" customFormat="1" outlineLevel="1" x14ac:dyDescent="0.25">
      <c r="B28" s="131"/>
      <c r="C28" s="134" t="s">
        <v>372</v>
      </c>
      <c r="D28" s="132"/>
      <c r="E28" s="132"/>
      <c r="F28" s="132"/>
      <c r="G28" s="107" t="s">
        <v>373</v>
      </c>
      <c r="H28" s="132"/>
      <c r="I28" s="132"/>
      <c r="J28" s="132"/>
      <c r="K28" s="132"/>
      <c r="L28" s="132"/>
      <c r="M28" s="132"/>
      <c r="N28" s="132"/>
      <c r="O28" s="133"/>
      <c r="Q28" s="281"/>
      <c r="R28" s="656"/>
      <c r="S28" s="656"/>
      <c r="T28" s="656"/>
      <c r="U28" s="656"/>
      <c r="V28" s="656"/>
      <c r="W28" s="316"/>
      <c r="X28" s="316"/>
      <c r="Y28" s="316" t="s">
        <v>350</v>
      </c>
      <c r="Z28" s="316"/>
      <c r="AA28" s="316"/>
      <c r="AB28" s="316"/>
      <c r="AC28" s="316"/>
      <c r="AD28" s="316"/>
      <c r="AE28" s="316"/>
      <c r="AF28" s="316"/>
      <c r="AG28" s="282"/>
    </row>
    <row r="29" spans="2:33" s="83" customFormat="1" ht="40.5" customHeight="1" outlineLevel="1" x14ac:dyDescent="0.3">
      <c r="B29" s="131"/>
      <c r="C29" s="631" t="s">
        <v>273</v>
      </c>
      <c r="D29" s="632"/>
      <c r="E29" s="132"/>
      <c r="F29" s="132"/>
      <c r="G29" s="631" t="str">
        <f>H13</f>
        <v>TMOAKZ01</v>
      </c>
      <c r="H29" s="632"/>
      <c r="I29" s="132"/>
      <c r="J29" s="132"/>
      <c r="K29" s="631">
        <v>102</v>
      </c>
      <c r="L29" s="632"/>
      <c r="M29" s="132"/>
      <c r="N29" s="132"/>
      <c r="O29" s="133" t="s">
        <v>1</v>
      </c>
      <c r="Q29" s="281"/>
      <c r="R29" s="658" t="s">
        <v>377</v>
      </c>
      <c r="S29" s="658"/>
      <c r="T29" s="658"/>
      <c r="U29" s="658"/>
      <c r="V29" s="658"/>
      <c r="W29" s="316"/>
      <c r="X29" s="316"/>
      <c r="Y29" s="656" t="s">
        <v>391</v>
      </c>
      <c r="Z29" s="656"/>
      <c r="AA29" s="656"/>
      <c r="AB29" s="656"/>
      <c r="AC29" s="656"/>
      <c r="AD29" s="656"/>
      <c r="AE29" s="656"/>
      <c r="AF29" s="458"/>
      <c r="AG29" s="282"/>
    </row>
    <row r="30" spans="2:33" s="83" customFormat="1" ht="12.75" customHeight="1" outlineLevel="1" x14ac:dyDescent="0.25">
      <c r="B30" s="131"/>
      <c r="C30" s="107" t="s">
        <v>370</v>
      </c>
      <c r="D30" s="441"/>
      <c r="E30" s="132"/>
      <c r="F30" s="132"/>
      <c r="G30" s="655" t="s">
        <v>371</v>
      </c>
      <c r="H30" s="655"/>
      <c r="I30" s="132"/>
      <c r="J30" s="132" t="s">
        <v>1</v>
      </c>
      <c r="K30" s="107" t="s">
        <v>176</v>
      </c>
      <c r="L30" s="132"/>
      <c r="M30" s="132"/>
      <c r="N30" s="132"/>
      <c r="O30" s="133"/>
      <c r="Q30" s="281"/>
      <c r="R30" s="658"/>
      <c r="S30" s="658"/>
      <c r="T30" s="658"/>
      <c r="U30" s="658"/>
      <c r="V30" s="658"/>
      <c r="W30" s="283"/>
      <c r="X30" s="283"/>
      <c r="Y30" s="283"/>
      <c r="Z30" s="283"/>
      <c r="AA30" s="283"/>
      <c r="AB30" s="283"/>
      <c r="AC30" s="283"/>
      <c r="AD30" s="283"/>
      <c r="AE30" s="283"/>
      <c r="AF30" s="283"/>
      <c r="AG30" s="282"/>
    </row>
    <row r="31" spans="2:33" s="83" customFormat="1" outlineLevel="1" x14ac:dyDescent="0.25">
      <c r="B31" s="136"/>
      <c r="C31" s="442" t="s">
        <v>365</v>
      </c>
      <c r="D31" s="442"/>
      <c r="E31" s="137"/>
      <c r="F31" s="137"/>
      <c r="G31" s="138" t="s">
        <v>368</v>
      </c>
      <c r="H31" s="137"/>
      <c r="I31" s="137"/>
      <c r="J31" s="137"/>
      <c r="K31" s="137"/>
      <c r="L31" s="137"/>
      <c r="M31" s="137"/>
      <c r="N31" s="137"/>
      <c r="O31" s="140"/>
      <c r="Q31" s="285"/>
      <c r="R31" s="286"/>
      <c r="S31" s="286"/>
      <c r="T31" s="286"/>
      <c r="U31" s="286"/>
      <c r="V31" s="286"/>
      <c r="W31" s="286"/>
      <c r="X31" s="286"/>
      <c r="Y31" s="286"/>
      <c r="Z31" s="286"/>
      <c r="AA31" s="286"/>
      <c r="AB31" s="286"/>
      <c r="AC31" s="286"/>
      <c r="AD31" s="286"/>
      <c r="AE31" s="286"/>
      <c r="AF31" s="286"/>
      <c r="AG31" s="284"/>
    </row>
    <row r="32" spans="2:33" x14ac:dyDescent="0.25">
      <c r="J32" s="83" t="s">
        <v>1</v>
      </c>
    </row>
    <row r="33" spans="2:23" ht="30.75" customHeight="1" x14ac:dyDescent="0.3">
      <c r="B33" s="113" t="s">
        <v>285</v>
      </c>
      <c r="R33" s="83"/>
      <c r="S33" s="83"/>
      <c r="T33" s="83"/>
      <c r="U33" s="83"/>
      <c r="V33" s="83"/>
    </row>
    <row r="34" spans="2:23" s="83" customFormat="1" ht="12" customHeight="1" x14ac:dyDescent="0.3">
      <c r="B34" s="299"/>
      <c r="C34" s="304"/>
      <c r="D34" s="129"/>
      <c r="E34" s="129"/>
      <c r="F34" s="129"/>
      <c r="G34" s="304"/>
      <c r="H34" s="304"/>
      <c r="I34" s="129"/>
      <c r="J34" s="129"/>
      <c r="K34" s="129"/>
      <c r="L34" s="129"/>
      <c r="M34" s="129"/>
      <c r="N34" s="129"/>
      <c r="O34" s="130"/>
      <c r="R34" s="659"/>
      <c r="S34" s="659"/>
      <c r="T34" s="659"/>
      <c r="U34" s="659"/>
      <c r="V34" s="659"/>
      <c r="W34" s="94"/>
    </row>
    <row r="35" spans="2:23" s="83" customFormat="1" ht="12" customHeight="1" thickBot="1" x14ac:dyDescent="0.35">
      <c r="B35" s="300"/>
      <c r="C35" s="107" t="s">
        <v>291</v>
      </c>
      <c r="D35" s="132"/>
      <c r="E35" s="132"/>
      <c r="F35" s="132"/>
      <c r="G35" s="107" t="s">
        <v>294</v>
      </c>
      <c r="H35" s="107"/>
      <c r="I35" s="132"/>
      <c r="J35" s="132"/>
      <c r="K35" s="107" t="s">
        <v>312</v>
      </c>
      <c r="L35" s="132"/>
      <c r="M35" s="132"/>
      <c r="N35" s="132"/>
      <c r="O35" s="133"/>
      <c r="R35" s="659"/>
      <c r="S35" s="659"/>
      <c r="T35" s="659"/>
      <c r="U35" s="659"/>
      <c r="V35" s="659"/>
      <c r="W35" s="94"/>
    </row>
    <row r="36" spans="2:23" s="83" customFormat="1" ht="30" customHeight="1" thickBot="1" x14ac:dyDescent="0.35">
      <c r="B36" s="300"/>
      <c r="C36" s="633"/>
      <c r="D36" s="634"/>
      <c r="E36" s="635"/>
      <c r="F36" s="132"/>
      <c r="G36" s="633"/>
      <c r="H36" s="635"/>
      <c r="I36" s="132"/>
      <c r="J36" s="132"/>
      <c r="K36" s="633"/>
      <c r="L36" s="635"/>
      <c r="M36" s="132"/>
      <c r="N36" s="132"/>
      <c r="O36" s="133"/>
    </row>
    <row r="37" spans="2:23" ht="36.75" customHeight="1" outlineLevel="1" x14ac:dyDescent="0.25">
      <c r="B37" s="131"/>
      <c r="C37" s="138" t="s">
        <v>254</v>
      </c>
      <c r="D37" s="137"/>
      <c r="E37" s="137"/>
      <c r="F37" s="132"/>
      <c r="G37" s="132"/>
      <c r="H37" s="132"/>
      <c r="I37" s="132"/>
      <c r="J37" s="132"/>
      <c r="K37" s="132"/>
      <c r="L37" s="132"/>
      <c r="M37" s="132"/>
      <c r="N37" s="132"/>
      <c r="O37" s="133"/>
    </row>
    <row r="38" spans="2:23" ht="63" customHeight="1" outlineLevel="1" x14ac:dyDescent="0.25">
      <c r="B38" s="131"/>
      <c r="C38" s="629"/>
      <c r="D38" s="629"/>
      <c r="E38" s="629"/>
      <c r="F38" s="629"/>
      <c r="G38" s="629"/>
      <c r="H38" s="629"/>
      <c r="I38" s="629"/>
      <c r="J38" s="629"/>
      <c r="K38" s="629"/>
      <c r="L38" s="629"/>
      <c r="M38" s="629"/>
      <c r="N38" s="132"/>
      <c r="O38" s="133"/>
    </row>
    <row r="39" spans="2:23" ht="35.25" customHeight="1" outlineLevel="1" x14ac:dyDescent="0.25">
      <c r="B39" s="131"/>
      <c r="C39" s="107" t="s">
        <v>255</v>
      </c>
      <c r="D39" s="132"/>
      <c r="E39" s="132"/>
      <c r="F39" s="132"/>
      <c r="G39" s="132"/>
      <c r="H39" s="132"/>
      <c r="I39" s="132"/>
      <c r="J39" s="132"/>
      <c r="K39" s="132"/>
      <c r="L39" s="132"/>
      <c r="M39" s="132"/>
      <c r="N39" s="132"/>
      <c r="O39" s="133"/>
    </row>
    <row r="40" spans="2:23" ht="90" customHeight="1" outlineLevel="1" x14ac:dyDescent="0.25">
      <c r="B40" s="131"/>
      <c r="C40" s="629"/>
      <c r="D40" s="629"/>
      <c r="E40" s="629"/>
      <c r="F40" s="629"/>
      <c r="G40" s="629"/>
      <c r="H40" s="629"/>
      <c r="I40" s="629"/>
      <c r="J40" s="629"/>
      <c r="K40" s="629"/>
      <c r="L40" s="629"/>
      <c r="M40" s="629"/>
      <c r="N40" s="132"/>
      <c r="O40" s="133"/>
      <c r="Q40" s="305"/>
      <c r="R40" s="305"/>
    </row>
    <row r="41" spans="2:23" outlineLevel="1" x14ac:dyDescent="0.25">
      <c r="B41" s="131"/>
      <c r="C41" s="107"/>
      <c r="D41" s="132"/>
      <c r="E41" s="132"/>
      <c r="F41" s="132"/>
      <c r="G41" s="132"/>
      <c r="H41" s="132"/>
      <c r="I41" s="132"/>
      <c r="J41" s="132"/>
      <c r="K41" s="132"/>
      <c r="L41" s="132"/>
      <c r="M41" s="132"/>
      <c r="N41" s="132"/>
      <c r="O41" s="133"/>
      <c r="Q41" s="305"/>
      <c r="R41" s="305"/>
    </row>
    <row r="42" spans="2:23" s="83" customFormat="1" outlineLevel="1" x14ac:dyDescent="0.25">
      <c r="B42" s="131"/>
      <c r="C42" s="107"/>
      <c r="D42" s="132"/>
      <c r="E42" s="132"/>
      <c r="F42" s="132"/>
      <c r="G42" s="132"/>
      <c r="H42" s="132"/>
      <c r="I42" s="132"/>
      <c r="J42" s="132"/>
      <c r="K42" s="132"/>
      <c r="L42" s="132"/>
      <c r="M42" s="132"/>
      <c r="N42" s="132"/>
      <c r="O42" s="133"/>
      <c r="Q42" s="305"/>
      <c r="R42" s="305"/>
    </row>
    <row r="43" spans="2:23" s="83" customFormat="1" outlineLevel="1" x14ac:dyDescent="0.25">
      <c r="B43" s="131"/>
      <c r="C43" s="121" t="s">
        <v>193</v>
      </c>
      <c r="D43" s="653" t="s">
        <v>170</v>
      </c>
      <c r="E43" s="653"/>
      <c r="F43" s="653" t="s">
        <v>194</v>
      </c>
      <c r="G43" s="653"/>
      <c r="H43" s="652" t="s">
        <v>392</v>
      </c>
      <c r="I43" s="652"/>
      <c r="J43" s="652"/>
      <c r="K43" s="652"/>
      <c r="L43" s="652"/>
      <c r="M43" s="652"/>
      <c r="N43" s="132"/>
      <c r="O43" s="133"/>
      <c r="Q43" s="305"/>
      <c r="R43" s="305"/>
    </row>
    <row r="44" spans="2:23" s="83" customFormat="1" outlineLevel="1" x14ac:dyDescent="0.25">
      <c r="B44" s="131"/>
      <c r="C44" s="111"/>
      <c r="D44" s="630"/>
      <c r="E44" s="630"/>
      <c r="F44" s="654"/>
      <c r="G44" s="654"/>
      <c r="H44" s="651"/>
      <c r="I44" s="651"/>
      <c r="J44" s="651"/>
      <c r="K44" s="651"/>
      <c r="L44" s="651"/>
      <c r="M44" s="651"/>
      <c r="N44" s="132"/>
      <c r="O44" s="133"/>
      <c r="Q44" s="305"/>
      <c r="R44" s="305"/>
    </row>
    <row r="45" spans="2:23" s="83" customFormat="1" outlineLevel="1" x14ac:dyDescent="0.25">
      <c r="B45" s="131"/>
      <c r="C45" s="111"/>
      <c r="D45" s="630"/>
      <c r="E45" s="630"/>
      <c r="F45" s="654"/>
      <c r="G45" s="654"/>
      <c r="H45" s="651"/>
      <c r="I45" s="651"/>
      <c r="J45" s="651"/>
      <c r="K45" s="651"/>
      <c r="L45" s="651"/>
      <c r="M45" s="651"/>
      <c r="N45" s="132"/>
      <c r="O45" s="133"/>
    </row>
    <row r="46" spans="2:23" s="83" customFormat="1" outlineLevel="1" x14ac:dyDescent="0.25">
      <c r="B46" s="131"/>
      <c r="C46" s="111"/>
      <c r="D46" s="630"/>
      <c r="E46" s="630"/>
      <c r="F46" s="654"/>
      <c r="G46" s="654"/>
      <c r="H46" s="651"/>
      <c r="I46" s="651"/>
      <c r="J46" s="651"/>
      <c r="K46" s="651"/>
      <c r="L46" s="651"/>
      <c r="M46" s="651"/>
      <c r="N46" s="132"/>
      <c r="O46" s="133"/>
    </row>
    <row r="47" spans="2:23" s="83" customFormat="1" outlineLevel="1" x14ac:dyDescent="0.25">
      <c r="B47" s="131"/>
      <c r="C47" s="111"/>
      <c r="D47" s="630"/>
      <c r="E47" s="630"/>
      <c r="F47" s="654"/>
      <c r="G47" s="654"/>
      <c r="H47" s="651"/>
      <c r="I47" s="651"/>
      <c r="J47" s="651"/>
      <c r="K47" s="651"/>
      <c r="L47" s="651"/>
      <c r="M47" s="651"/>
      <c r="N47" s="132"/>
      <c r="O47" s="133"/>
    </row>
    <row r="48" spans="2:23" outlineLevel="1" x14ac:dyDescent="0.25">
      <c r="B48" s="136"/>
      <c r="C48" s="137"/>
      <c r="D48" s="137"/>
      <c r="E48" s="137"/>
      <c r="F48" s="137"/>
      <c r="G48" s="137"/>
      <c r="H48" s="137"/>
      <c r="I48" s="137"/>
      <c r="J48" s="137"/>
      <c r="K48" s="137"/>
      <c r="L48" s="137"/>
      <c r="M48" s="137"/>
      <c r="N48" s="137"/>
      <c r="O48" s="140"/>
    </row>
    <row r="49" spans="2:33" s="83" customFormat="1" x14ac:dyDescent="0.25"/>
    <row r="50" spans="2:33" ht="44.25" customHeight="1" x14ac:dyDescent="0.25">
      <c r="B50" s="662" t="s">
        <v>412</v>
      </c>
      <c r="C50" s="662"/>
      <c r="D50" s="662"/>
      <c r="E50" s="662"/>
      <c r="F50" s="662"/>
      <c r="G50" s="662"/>
      <c r="H50" s="662"/>
      <c r="I50" s="662"/>
      <c r="J50" s="662"/>
      <c r="K50" s="662"/>
      <c r="L50" s="662"/>
      <c r="M50" s="662"/>
      <c r="N50" s="662"/>
      <c r="O50" s="662"/>
      <c r="R50" s="94"/>
      <c r="S50" s="94"/>
      <c r="T50" s="94"/>
      <c r="U50" s="94"/>
      <c r="V50" s="94"/>
      <c r="W50" s="94"/>
      <c r="X50" s="94"/>
      <c r="Y50" s="94"/>
      <c r="Z50" s="94"/>
      <c r="AA50" s="94"/>
      <c r="AB50" s="94"/>
      <c r="AC50" s="94"/>
      <c r="AD50" s="94"/>
      <c r="AE50" s="94"/>
      <c r="AF50" s="94"/>
      <c r="AG50" s="94"/>
    </row>
    <row r="51" spans="2:33" outlineLevel="1" x14ac:dyDescent="0.25">
      <c r="B51" s="128"/>
      <c r="C51" s="129"/>
      <c r="D51" s="129"/>
      <c r="E51" s="129"/>
      <c r="F51" s="129"/>
      <c r="G51" s="129"/>
      <c r="H51" s="129"/>
      <c r="I51" s="129"/>
      <c r="J51" s="129"/>
      <c r="K51" s="129"/>
      <c r="L51" s="129"/>
      <c r="M51" s="129"/>
      <c r="N51" s="129"/>
      <c r="O51" s="130"/>
      <c r="Q51" s="277"/>
      <c r="R51" s="279"/>
      <c r="S51" s="279"/>
      <c r="T51" s="279"/>
      <c r="U51" s="279"/>
      <c r="V51" s="279"/>
      <c r="W51" s="279"/>
      <c r="X51" s="279"/>
      <c r="Y51" s="279"/>
      <c r="Z51" s="279"/>
      <c r="AA51" s="279"/>
      <c r="AB51" s="279"/>
      <c r="AC51" s="279"/>
      <c r="AD51" s="279"/>
      <c r="AE51" s="279"/>
      <c r="AF51" s="279"/>
      <c r="AG51" s="280"/>
    </row>
    <row r="52" spans="2:33" s="83" customFormat="1" ht="20.25" customHeight="1" outlineLevel="1" x14ac:dyDescent="0.25">
      <c r="B52" s="131"/>
      <c r="C52" s="134"/>
      <c r="D52" s="132"/>
      <c r="E52" s="132"/>
      <c r="F52" s="132"/>
      <c r="G52" s="132"/>
      <c r="H52" s="132"/>
      <c r="I52" s="134"/>
      <c r="J52" s="132"/>
      <c r="K52" s="132"/>
      <c r="L52" s="134" t="s">
        <v>296</v>
      </c>
      <c r="M52" s="132"/>
      <c r="N52" s="268" t="s">
        <v>355</v>
      </c>
      <c r="O52" s="133"/>
      <c r="Q52" s="281"/>
      <c r="R52" s="320" t="s">
        <v>189</v>
      </c>
      <c r="S52" s="283"/>
      <c r="T52" s="283"/>
      <c r="U52" s="283"/>
      <c r="V52" s="283"/>
      <c r="W52" s="283"/>
      <c r="X52" s="283"/>
      <c r="Y52" s="320" t="s">
        <v>299</v>
      </c>
      <c r="Z52" s="283"/>
      <c r="AA52" s="283"/>
      <c r="AB52" s="283"/>
      <c r="AC52" s="283"/>
      <c r="AD52" s="283"/>
      <c r="AE52" s="283"/>
      <c r="AF52" s="283"/>
      <c r="AG52" s="282"/>
    </row>
    <row r="53" spans="2:33" ht="26.25" customHeight="1" outlineLevel="1" x14ac:dyDescent="0.25">
      <c r="B53" s="131"/>
      <c r="C53" s="132"/>
      <c r="D53" s="132"/>
      <c r="E53" s="132"/>
      <c r="F53" s="132"/>
      <c r="G53" s="132"/>
      <c r="H53" s="132"/>
      <c r="I53" s="132"/>
      <c r="J53" s="132"/>
      <c r="K53" s="132"/>
      <c r="L53" s="173" t="s">
        <v>293</v>
      </c>
      <c r="M53" s="132"/>
      <c r="N53" s="173" t="s">
        <v>244</v>
      </c>
      <c r="O53" s="133"/>
      <c r="Q53" s="281"/>
      <c r="R53" s="661" t="s">
        <v>386</v>
      </c>
      <c r="S53" s="661"/>
      <c r="T53" s="661"/>
      <c r="U53" s="661"/>
      <c r="V53" s="661"/>
      <c r="W53" s="316"/>
      <c r="X53" s="316"/>
      <c r="Y53" s="656" t="s">
        <v>388</v>
      </c>
      <c r="Z53" s="656"/>
      <c r="AA53" s="656"/>
      <c r="AB53" s="656"/>
      <c r="AC53" s="656"/>
      <c r="AD53" s="656"/>
      <c r="AE53" s="656"/>
      <c r="AF53" s="458"/>
      <c r="AG53" s="282"/>
    </row>
    <row r="54" spans="2:33" ht="20.25" customHeight="1" outlineLevel="1" x14ac:dyDescent="0.25">
      <c r="B54" s="131"/>
      <c r="C54" s="132"/>
      <c r="D54" s="132"/>
      <c r="E54" s="132"/>
      <c r="F54" s="132"/>
      <c r="G54" s="132"/>
      <c r="H54" s="132"/>
      <c r="I54" s="132"/>
      <c r="J54" s="132"/>
      <c r="K54" s="132"/>
      <c r="L54" s="171" t="s">
        <v>241</v>
      </c>
      <c r="M54" s="132"/>
      <c r="N54" s="269" t="s">
        <v>344</v>
      </c>
      <c r="O54" s="133"/>
      <c r="Q54" s="281"/>
      <c r="R54" s="298" t="s">
        <v>190</v>
      </c>
      <c r="S54" s="316"/>
      <c r="T54" s="316"/>
      <c r="U54" s="316"/>
      <c r="V54" s="316"/>
      <c r="W54" s="316"/>
      <c r="X54" s="316"/>
      <c r="Y54" s="298" t="s">
        <v>310</v>
      </c>
      <c r="Z54" s="371"/>
      <c r="AA54" s="371"/>
      <c r="AB54" s="371"/>
      <c r="AC54" s="371"/>
      <c r="AD54" s="371"/>
      <c r="AE54" s="371"/>
      <c r="AF54" s="371"/>
      <c r="AG54" s="282"/>
    </row>
    <row r="55" spans="2:33" s="83" customFormat="1" ht="20.100000000000001" customHeight="1" outlineLevel="1" x14ac:dyDescent="0.25">
      <c r="B55" s="131"/>
      <c r="C55" s="132"/>
      <c r="D55" s="132"/>
      <c r="E55" s="132"/>
      <c r="F55" s="132"/>
      <c r="G55" s="132"/>
      <c r="H55" s="132"/>
      <c r="I55" s="132"/>
      <c r="J55" s="132"/>
      <c r="K55" s="132"/>
      <c r="L55" s="173" t="s">
        <v>242</v>
      </c>
      <c r="M55" s="132"/>
      <c r="N55" s="173" t="s">
        <v>357</v>
      </c>
      <c r="O55" s="133"/>
      <c r="Q55" s="281"/>
      <c r="R55" s="656" t="s">
        <v>389</v>
      </c>
      <c r="S55" s="656"/>
      <c r="T55" s="656"/>
      <c r="U55" s="656"/>
      <c r="V55" s="656"/>
      <c r="W55" s="656"/>
      <c r="X55" s="656"/>
      <c r="Y55" s="656" t="s">
        <v>381</v>
      </c>
      <c r="Z55" s="656"/>
      <c r="AA55" s="656"/>
      <c r="AB55" s="656"/>
      <c r="AC55" s="656"/>
      <c r="AD55" s="656"/>
      <c r="AE55" s="656"/>
      <c r="AF55" s="458"/>
      <c r="AG55" s="282"/>
    </row>
    <row r="56" spans="2:33" s="83" customFormat="1" outlineLevel="1" x14ac:dyDescent="0.25">
      <c r="B56" s="311"/>
      <c r="C56" s="310"/>
      <c r="D56" s="310"/>
      <c r="E56" s="310"/>
      <c r="F56" s="310"/>
      <c r="G56" s="310"/>
      <c r="H56" s="310"/>
      <c r="I56" s="306"/>
      <c r="J56" s="310"/>
      <c r="K56" s="132"/>
      <c r="L56" s="172"/>
      <c r="M56" s="132"/>
      <c r="N56" s="173"/>
      <c r="O56" s="307"/>
      <c r="Q56" s="285"/>
      <c r="R56" s="657"/>
      <c r="S56" s="657"/>
      <c r="T56" s="657"/>
      <c r="U56" s="657"/>
      <c r="V56" s="657"/>
      <c r="W56" s="657"/>
      <c r="X56" s="657"/>
      <c r="Y56" s="657"/>
      <c r="Z56" s="657"/>
      <c r="AA56" s="657"/>
      <c r="AB56" s="657"/>
      <c r="AC56" s="657"/>
      <c r="AD56" s="657"/>
      <c r="AE56" s="657"/>
      <c r="AF56" s="459"/>
      <c r="AG56" s="284"/>
    </row>
    <row r="57" spans="2:33" s="94" customFormat="1" outlineLevel="1" x14ac:dyDescent="0.25">
      <c r="B57" s="131"/>
      <c r="C57" s="134"/>
      <c r="D57" s="132"/>
      <c r="E57" s="132"/>
      <c r="F57" s="132"/>
      <c r="G57" s="107"/>
      <c r="H57" s="132"/>
      <c r="I57" s="132"/>
      <c r="J57" s="132"/>
      <c r="K57" s="309"/>
      <c r="L57" s="309"/>
      <c r="M57" s="309"/>
      <c r="N57" s="308"/>
      <c r="O57" s="133"/>
      <c r="Q57" s="281"/>
      <c r="R57" s="320"/>
      <c r="S57" s="283"/>
      <c r="T57" s="283"/>
      <c r="U57" s="283"/>
      <c r="V57" s="283"/>
      <c r="W57" s="283"/>
      <c r="X57" s="283"/>
      <c r="Y57" s="283"/>
      <c r="Z57" s="283"/>
      <c r="AA57" s="283"/>
      <c r="AB57" s="283"/>
      <c r="AC57" s="283"/>
      <c r="AD57" s="283"/>
      <c r="AE57" s="283"/>
      <c r="AF57" s="283"/>
      <c r="AG57" s="282"/>
    </row>
    <row r="58" spans="2:33" s="94" customFormat="1" ht="20.25" customHeight="1" outlineLevel="1" x14ac:dyDescent="0.25">
      <c r="B58" s="131"/>
      <c r="C58" s="132"/>
      <c r="D58" s="132"/>
      <c r="E58" s="132"/>
      <c r="F58" s="132"/>
      <c r="G58" s="107"/>
      <c r="H58" s="107"/>
      <c r="I58" s="107"/>
      <c r="J58" s="107"/>
      <c r="K58" s="107"/>
      <c r="L58" s="171" t="s">
        <v>248</v>
      </c>
      <c r="M58" s="132"/>
      <c r="N58" s="268" t="s">
        <v>321</v>
      </c>
      <c r="O58" s="133"/>
      <c r="Q58" s="281"/>
      <c r="R58" s="372" t="s">
        <v>301</v>
      </c>
      <c r="S58" s="316"/>
      <c r="T58" s="316"/>
      <c r="U58" s="316"/>
      <c r="V58" s="316"/>
      <c r="W58" s="316"/>
      <c r="X58" s="316"/>
      <c r="Y58" s="298" t="s">
        <v>302</v>
      </c>
      <c r="Z58" s="316"/>
      <c r="AA58" s="316"/>
      <c r="AB58" s="316"/>
      <c r="AC58" s="316"/>
      <c r="AD58" s="316"/>
      <c r="AE58" s="316"/>
      <c r="AF58" s="316"/>
      <c r="AG58" s="282"/>
    </row>
    <row r="59" spans="2:33" ht="19.5" customHeight="1" outlineLevel="1" x14ac:dyDescent="0.25">
      <c r="B59" s="131"/>
      <c r="C59" s="132"/>
      <c r="D59" s="132"/>
      <c r="E59" s="132"/>
      <c r="F59" s="132"/>
      <c r="G59" s="107"/>
      <c r="H59" s="107"/>
      <c r="I59" s="107"/>
      <c r="J59" s="107"/>
      <c r="K59" s="107"/>
      <c r="L59" s="173" t="s">
        <v>292</v>
      </c>
      <c r="M59" s="132"/>
      <c r="N59" s="173" t="s">
        <v>249</v>
      </c>
      <c r="O59" s="133"/>
      <c r="Q59" s="281"/>
      <c r="R59" s="656" t="s">
        <v>390</v>
      </c>
      <c r="S59" s="656"/>
      <c r="T59" s="656"/>
      <c r="U59" s="656"/>
      <c r="V59" s="656"/>
      <c r="W59" s="656"/>
      <c r="X59" s="316"/>
      <c r="Y59" s="656" t="s">
        <v>382</v>
      </c>
      <c r="Z59" s="656"/>
      <c r="AA59" s="656"/>
      <c r="AB59" s="656"/>
      <c r="AC59" s="656"/>
      <c r="AD59" s="656"/>
      <c r="AE59" s="656"/>
      <c r="AF59" s="458"/>
      <c r="AG59" s="282"/>
    </row>
    <row r="60" spans="2:33" s="83" customFormat="1" ht="20.25" customHeight="1" outlineLevel="1" x14ac:dyDescent="0.25">
      <c r="B60" s="131"/>
      <c r="C60" s="132"/>
      <c r="D60" s="132"/>
      <c r="E60" s="132"/>
      <c r="F60" s="132"/>
      <c r="G60" s="107"/>
      <c r="H60" s="107"/>
      <c r="I60" s="107"/>
      <c r="J60" s="107"/>
      <c r="K60" s="107"/>
      <c r="L60" s="173"/>
      <c r="M60" s="132"/>
      <c r="N60" s="132"/>
      <c r="O60" s="133"/>
      <c r="Q60" s="281"/>
      <c r="R60" s="656"/>
      <c r="S60" s="656"/>
      <c r="T60" s="656"/>
      <c r="U60" s="656"/>
      <c r="V60" s="656"/>
      <c r="W60" s="656"/>
      <c r="X60" s="316"/>
      <c r="Y60" s="656"/>
      <c r="Z60" s="656"/>
      <c r="AA60" s="656"/>
      <c r="AB60" s="656"/>
      <c r="AC60" s="656"/>
      <c r="AD60" s="656"/>
      <c r="AE60" s="656"/>
      <c r="AF60" s="458"/>
      <c r="AG60" s="282"/>
    </row>
    <row r="61" spans="2:33" s="83" customFormat="1" ht="31.5" customHeight="1" outlineLevel="1" x14ac:dyDescent="0.25">
      <c r="B61" s="131"/>
      <c r="C61" s="132"/>
      <c r="D61" s="310"/>
      <c r="E61" s="310"/>
      <c r="F61" s="310"/>
      <c r="G61" s="107"/>
      <c r="H61" s="107"/>
      <c r="I61" s="107"/>
      <c r="J61" s="314"/>
      <c r="K61" s="107"/>
      <c r="L61" s="173"/>
      <c r="M61" s="132"/>
      <c r="N61" s="132"/>
      <c r="O61" s="133"/>
      <c r="Q61" s="285"/>
      <c r="R61" s="373"/>
      <c r="S61" s="286"/>
      <c r="T61" s="286"/>
      <c r="U61" s="286"/>
      <c r="V61" s="286"/>
      <c r="W61" s="286"/>
      <c r="X61" s="286"/>
      <c r="Y61" s="286"/>
      <c r="Z61" s="286"/>
      <c r="AA61" s="286"/>
      <c r="AB61" s="286"/>
      <c r="AC61" s="286"/>
      <c r="AD61" s="286"/>
      <c r="AE61" s="286"/>
      <c r="AF61" s="286"/>
      <c r="AG61" s="284"/>
    </row>
    <row r="62" spans="2:33" s="83" customFormat="1" ht="25.5" customHeight="1" outlineLevel="1" x14ac:dyDescent="0.25">
      <c r="B62" s="312"/>
      <c r="C62" s="313"/>
      <c r="D62" s="132"/>
      <c r="E62" s="132"/>
      <c r="F62" s="132"/>
      <c r="G62" s="309"/>
      <c r="H62" s="309"/>
      <c r="I62" s="313"/>
      <c r="J62" s="134"/>
      <c r="K62" s="309"/>
      <c r="L62" s="309"/>
      <c r="M62" s="309"/>
      <c r="N62" s="309"/>
      <c r="O62" s="315"/>
      <c r="Q62" s="281"/>
      <c r="R62" s="372" t="s">
        <v>303</v>
      </c>
      <c r="S62" s="283"/>
      <c r="T62" s="283"/>
      <c r="U62" s="283"/>
      <c r="V62" s="283"/>
      <c r="W62" s="283"/>
      <c r="X62" s="283"/>
      <c r="Y62" s="320" t="s">
        <v>299</v>
      </c>
      <c r="Z62" s="283"/>
      <c r="AA62" s="283"/>
      <c r="AB62" s="283"/>
      <c r="AC62" s="283"/>
      <c r="AD62" s="283"/>
      <c r="AE62" s="283"/>
      <c r="AF62" s="283"/>
      <c r="AG62" s="282"/>
    </row>
    <row r="63" spans="2:33" s="83" customFormat="1" ht="17.25" customHeight="1" outlineLevel="1" x14ac:dyDescent="0.25">
      <c r="B63" s="131"/>
      <c r="C63" s="132"/>
      <c r="D63" s="132"/>
      <c r="E63" s="132"/>
      <c r="F63" s="132"/>
      <c r="G63" s="132"/>
      <c r="H63" s="132"/>
      <c r="I63" s="132"/>
      <c r="J63" s="132"/>
      <c r="K63" s="132"/>
      <c r="L63" s="134" t="s">
        <v>296</v>
      </c>
      <c r="M63" s="132"/>
      <c r="N63" s="268" t="s">
        <v>327</v>
      </c>
      <c r="O63" s="133"/>
      <c r="Q63" s="281"/>
      <c r="R63" s="656" t="s">
        <v>378</v>
      </c>
      <c r="S63" s="656"/>
      <c r="T63" s="656"/>
      <c r="U63" s="656"/>
      <c r="V63" s="656"/>
      <c r="W63" s="656"/>
      <c r="X63" s="656"/>
      <c r="Y63" s="656" t="s">
        <v>387</v>
      </c>
      <c r="Z63" s="656"/>
      <c r="AA63" s="656"/>
      <c r="AB63" s="656"/>
      <c r="AC63" s="656"/>
      <c r="AD63" s="656"/>
      <c r="AE63" s="656"/>
      <c r="AF63" s="458"/>
      <c r="AG63" s="282"/>
    </row>
    <row r="64" spans="2:33" s="83" customFormat="1" outlineLevel="1" x14ac:dyDescent="0.25">
      <c r="B64" s="131"/>
      <c r="C64" s="132"/>
      <c r="D64" s="132"/>
      <c r="E64" s="132"/>
      <c r="F64" s="132"/>
      <c r="G64" s="132"/>
      <c r="H64" s="132"/>
      <c r="I64" s="132"/>
      <c r="J64" s="132"/>
      <c r="K64" s="132"/>
      <c r="L64" s="173" t="s">
        <v>293</v>
      </c>
      <c r="M64" s="132"/>
      <c r="N64" s="173" t="s">
        <v>244</v>
      </c>
      <c r="O64" s="133"/>
      <c r="Q64" s="281"/>
      <c r="R64" s="656"/>
      <c r="S64" s="656"/>
      <c r="T64" s="656"/>
      <c r="U64" s="656"/>
      <c r="V64" s="656"/>
      <c r="W64" s="656"/>
      <c r="X64" s="656"/>
      <c r="Y64" s="656"/>
      <c r="Z64" s="656"/>
      <c r="AA64" s="656"/>
      <c r="AB64" s="656"/>
      <c r="AC64" s="656"/>
      <c r="AD64" s="656"/>
      <c r="AE64" s="656"/>
      <c r="AF64" s="458"/>
      <c r="AG64" s="282"/>
    </row>
    <row r="65" spans="2:33" s="83" customFormat="1" outlineLevel="1" x14ac:dyDescent="0.25">
      <c r="B65" s="131"/>
      <c r="C65" s="132"/>
      <c r="D65" s="132"/>
      <c r="E65" s="132"/>
      <c r="F65" s="132"/>
      <c r="G65" s="132"/>
      <c r="H65" s="132"/>
      <c r="I65" s="132"/>
      <c r="J65" s="132"/>
      <c r="K65" s="132"/>
      <c r="L65" s="132"/>
      <c r="M65" s="132"/>
      <c r="N65" s="132"/>
      <c r="O65" s="133"/>
      <c r="Q65" s="281"/>
      <c r="R65" s="438" t="s">
        <v>330</v>
      </c>
      <c r="S65" s="316"/>
      <c r="T65" s="316"/>
      <c r="U65" s="316"/>
      <c r="V65" s="316"/>
      <c r="W65" s="316"/>
      <c r="X65" s="316"/>
      <c r="Y65" s="656"/>
      <c r="Z65" s="656"/>
      <c r="AA65" s="656"/>
      <c r="AB65" s="656"/>
      <c r="AC65" s="656"/>
      <c r="AD65" s="656"/>
      <c r="AE65" s="656"/>
      <c r="AF65" s="458"/>
      <c r="AG65" s="282"/>
    </row>
    <row r="66" spans="2:33" s="83" customFormat="1" ht="40.5" customHeight="1" outlineLevel="1" x14ac:dyDescent="0.25">
      <c r="B66" s="311"/>
      <c r="C66" s="310"/>
      <c r="D66" s="310"/>
      <c r="E66" s="310"/>
      <c r="F66" s="310"/>
      <c r="G66" s="310"/>
      <c r="H66" s="310"/>
      <c r="I66" s="310"/>
      <c r="J66" s="310"/>
      <c r="K66" s="310"/>
      <c r="L66" s="310"/>
      <c r="M66" s="310"/>
      <c r="N66" s="310"/>
      <c r="O66" s="307"/>
      <c r="Q66" s="285"/>
      <c r="R66" s="657" t="s">
        <v>385</v>
      </c>
      <c r="S66" s="657"/>
      <c r="T66" s="657"/>
      <c r="U66" s="657"/>
      <c r="V66" s="657"/>
      <c r="W66" s="657"/>
      <c r="X66" s="657"/>
      <c r="Y66" s="657"/>
      <c r="Z66" s="657"/>
      <c r="AA66" s="657"/>
      <c r="AB66" s="657"/>
      <c r="AC66" s="657"/>
      <c r="AD66" s="657"/>
      <c r="AE66" s="657"/>
      <c r="AF66" s="459"/>
      <c r="AG66" s="284"/>
    </row>
    <row r="67" spans="2:33" s="83" customFormat="1" ht="31.5" customHeight="1" outlineLevel="1" x14ac:dyDescent="0.25">
      <c r="B67" s="131"/>
      <c r="C67" s="134"/>
      <c r="D67" s="132"/>
      <c r="E67" s="132"/>
      <c r="F67" s="132"/>
      <c r="G67" s="132"/>
      <c r="H67" s="132"/>
      <c r="I67" s="134"/>
      <c r="J67" s="132"/>
      <c r="K67" s="132"/>
      <c r="L67" s="132"/>
      <c r="M67" s="132"/>
      <c r="N67" s="132"/>
      <c r="O67" s="133"/>
      <c r="Q67" s="281"/>
      <c r="R67" s="663" t="s">
        <v>304</v>
      </c>
      <c r="S67" s="663"/>
      <c r="T67" s="283"/>
      <c r="U67" s="283"/>
      <c r="V67" s="283"/>
      <c r="W67" s="283"/>
      <c r="X67" s="283"/>
      <c r="Y67" s="283"/>
      <c r="Z67" s="283"/>
      <c r="AA67" s="283"/>
      <c r="AB67" s="283"/>
      <c r="AC67" s="283"/>
      <c r="AD67" s="283"/>
      <c r="AE67" s="283"/>
      <c r="AF67" s="283"/>
      <c r="AG67" s="282"/>
    </row>
    <row r="68" spans="2:33" ht="24.75" customHeight="1" outlineLevel="1" x14ac:dyDescent="0.25">
      <c r="B68" s="131"/>
      <c r="C68" s="132"/>
      <c r="D68" s="132"/>
      <c r="E68" s="132"/>
      <c r="F68" s="132"/>
      <c r="G68" s="132"/>
      <c r="H68" s="132"/>
      <c r="I68" s="132"/>
      <c r="J68" s="132"/>
      <c r="K68" s="132"/>
      <c r="L68" s="132"/>
      <c r="M68" s="132"/>
      <c r="N68" s="132"/>
      <c r="O68" s="133"/>
      <c r="Q68" s="281"/>
      <c r="R68" s="656" t="s">
        <v>380</v>
      </c>
      <c r="S68" s="656"/>
      <c r="T68" s="656"/>
      <c r="U68" s="656"/>
      <c r="V68" s="656"/>
      <c r="W68" s="656"/>
      <c r="X68" s="316"/>
      <c r="Y68" s="316"/>
      <c r="Z68" s="316"/>
      <c r="AA68" s="316"/>
      <c r="AB68" s="316"/>
      <c r="AC68" s="316"/>
      <c r="AD68" s="316"/>
      <c r="AE68" s="316"/>
      <c r="AF68" s="316"/>
      <c r="AG68" s="282"/>
    </row>
    <row r="69" spans="2:33" s="83" customFormat="1" ht="20.100000000000001" customHeight="1" outlineLevel="1" x14ac:dyDescent="0.25">
      <c r="B69" s="131"/>
      <c r="C69" s="132"/>
      <c r="D69" s="132"/>
      <c r="E69" s="132"/>
      <c r="F69" s="132"/>
      <c r="G69" s="132"/>
      <c r="H69" s="132"/>
      <c r="I69" s="132"/>
      <c r="J69" s="132"/>
      <c r="K69" s="132"/>
      <c r="L69" s="132"/>
      <c r="M69" s="132"/>
      <c r="N69" s="132"/>
      <c r="O69" s="133"/>
      <c r="Q69" s="281"/>
      <c r="R69" s="298" t="s">
        <v>305</v>
      </c>
      <c r="S69" s="316"/>
      <c r="T69" s="316"/>
      <c r="U69" s="316"/>
      <c r="V69" s="316"/>
      <c r="W69" s="316"/>
      <c r="X69" s="316"/>
      <c r="Y69" s="316"/>
      <c r="Z69" s="316"/>
      <c r="AA69" s="316"/>
      <c r="AB69" s="316"/>
      <c r="AC69" s="316"/>
      <c r="AD69" s="316"/>
      <c r="AE69" s="316"/>
      <c r="AF69" s="316"/>
      <c r="AG69" s="282"/>
    </row>
    <row r="70" spans="2:33" s="83" customFormat="1" ht="20.100000000000001" customHeight="1" outlineLevel="1" x14ac:dyDescent="0.25">
      <c r="B70" s="131"/>
      <c r="C70" s="132"/>
      <c r="D70" s="132"/>
      <c r="E70" s="132"/>
      <c r="F70" s="132"/>
      <c r="G70" s="132"/>
      <c r="H70" s="132"/>
      <c r="I70" s="132"/>
      <c r="J70" s="132"/>
      <c r="K70" s="132"/>
      <c r="L70" s="132"/>
      <c r="M70" s="132"/>
      <c r="N70" s="132"/>
      <c r="O70" s="133"/>
      <c r="Q70" s="281"/>
      <c r="R70" s="656" t="s">
        <v>379</v>
      </c>
      <c r="S70" s="656"/>
      <c r="T70" s="656"/>
      <c r="U70" s="656"/>
      <c r="V70" s="316"/>
      <c r="W70" s="316"/>
      <c r="X70" s="316"/>
      <c r="Y70" s="316"/>
      <c r="Z70" s="316"/>
      <c r="AA70" s="316"/>
      <c r="AB70" s="316"/>
      <c r="AC70" s="316"/>
      <c r="AD70" s="316"/>
      <c r="AE70" s="316"/>
      <c r="AF70" s="316"/>
      <c r="AG70" s="282"/>
    </row>
    <row r="71" spans="2:33" s="83" customFormat="1" ht="20.100000000000001" customHeight="1" outlineLevel="1" x14ac:dyDescent="0.25">
      <c r="B71" s="311"/>
      <c r="C71" s="310"/>
      <c r="D71" s="310"/>
      <c r="E71" s="310"/>
      <c r="F71" s="310"/>
      <c r="G71" s="310"/>
      <c r="H71" s="310"/>
      <c r="I71" s="310"/>
      <c r="J71" s="310"/>
      <c r="K71" s="310"/>
      <c r="L71" s="310"/>
      <c r="M71" s="310"/>
      <c r="N71" s="310"/>
      <c r="O71" s="307"/>
      <c r="Q71" s="285"/>
      <c r="R71" s="657"/>
      <c r="S71" s="657"/>
      <c r="T71" s="657"/>
      <c r="U71" s="657"/>
      <c r="V71" s="437"/>
      <c r="W71" s="437"/>
      <c r="X71" s="437"/>
      <c r="Y71" s="437"/>
      <c r="Z71" s="437"/>
      <c r="AA71" s="437"/>
      <c r="AB71" s="437"/>
      <c r="AC71" s="437"/>
      <c r="AD71" s="437"/>
      <c r="AE71" s="437"/>
      <c r="AF71" s="437"/>
      <c r="AG71" s="284"/>
    </row>
    <row r="72" spans="2:33" s="83" customFormat="1" ht="20.100000000000001" customHeight="1" outlineLevel="1" x14ac:dyDescent="0.25">
      <c r="B72" s="131"/>
      <c r="C72" s="132"/>
      <c r="D72" s="132"/>
      <c r="E72" s="132"/>
      <c r="F72" s="132"/>
      <c r="G72" s="132"/>
      <c r="H72" s="132"/>
      <c r="I72" s="132"/>
      <c r="J72" s="132"/>
      <c r="K72" s="132"/>
      <c r="L72" s="132"/>
      <c r="M72" s="132"/>
      <c r="N72" s="132"/>
      <c r="O72" s="133"/>
      <c r="Q72" s="281"/>
      <c r="R72" s="371"/>
      <c r="S72" s="316"/>
      <c r="T72" s="316"/>
      <c r="U72" s="316"/>
      <c r="V72" s="316"/>
      <c r="W72" s="316"/>
      <c r="X72" s="316"/>
      <c r="Y72" s="316"/>
      <c r="Z72" s="316"/>
      <c r="AA72" s="316"/>
      <c r="AB72" s="316"/>
      <c r="AC72" s="316"/>
      <c r="AD72" s="316"/>
      <c r="AE72" s="316"/>
      <c r="AF72" s="316"/>
      <c r="AG72" s="282"/>
    </row>
    <row r="73" spans="2:33" s="83" customFormat="1" ht="20.100000000000001" customHeight="1" outlineLevel="1" x14ac:dyDescent="0.25">
      <c r="B73" s="131"/>
      <c r="C73" s="132"/>
      <c r="D73" s="132"/>
      <c r="E73" s="132"/>
      <c r="F73" s="132"/>
      <c r="G73" s="132"/>
      <c r="H73" s="132"/>
      <c r="I73" s="132"/>
      <c r="J73" s="132"/>
      <c r="K73" s="132"/>
      <c r="L73" s="132"/>
      <c r="M73" s="132"/>
      <c r="N73" s="132"/>
      <c r="O73" s="133"/>
      <c r="Q73" s="281"/>
      <c r="R73" s="298" t="s">
        <v>331</v>
      </c>
      <c r="S73" s="316"/>
      <c r="T73" s="316"/>
      <c r="U73" s="316"/>
      <c r="V73" s="316"/>
      <c r="W73" s="316"/>
      <c r="X73" s="316"/>
      <c r="Y73" s="316"/>
      <c r="Z73" s="316"/>
      <c r="AA73" s="316"/>
      <c r="AB73" s="316"/>
      <c r="AC73" s="316"/>
      <c r="AD73" s="316"/>
      <c r="AE73" s="316"/>
      <c r="AF73" s="316"/>
      <c r="AG73" s="282"/>
    </row>
    <row r="74" spans="2:33" s="83" customFormat="1" ht="25.5" customHeight="1" outlineLevel="1" x14ac:dyDescent="0.25">
      <c r="B74" s="131"/>
      <c r="C74" s="132"/>
      <c r="D74" s="132"/>
      <c r="E74" s="132"/>
      <c r="F74" s="132"/>
      <c r="G74" s="132"/>
      <c r="H74" s="132"/>
      <c r="I74" s="132"/>
      <c r="J74" s="132"/>
      <c r="K74" s="132"/>
      <c r="L74" s="132"/>
      <c r="M74" s="132"/>
      <c r="N74" s="132"/>
      <c r="O74" s="133"/>
      <c r="Q74" s="281"/>
      <c r="R74" s="656" t="s">
        <v>383</v>
      </c>
      <c r="S74" s="656"/>
      <c r="T74" s="656"/>
      <c r="U74" s="656"/>
      <c r="V74" s="656"/>
      <c r="W74" s="656"/>
      <c r="X74" s="316"/>
      <c r="Y74" s="316"/>
      <c r="Z74" s="316"/>
      <c r="AA74" s="316"/>
      <c r="AB74" s="316"/>
      <c r="AC74" s="316"/>
      <c r="AD74" s="316"/>
      <c r="AE74" s="316"/>
      <c r="AF74" s="316"/>
      <c r="AG74" s="282"/>
    </row>
    <row r="75" spans="2:33" s="83" customFormat="1" ht="20.100000000000001" customHeight="1" outlineLevel="1" x14ac:dyDescent="0.25">
      <c r="B75" s="131"/>
      <c r="C75" s="132"/>
      <c r="D75" s="132"/>
      <c r="E75" s="132"/>
      <c r="F75" s="132"/>
      <c r="G75" s="132"/>
      <c r="H75" s="132"/>
      <c r="I75" s="132"/>
      <c r="J75" s="132"/>
      <c r="K75" s="132"/>
      <c r="L75" s="132"/>
      <c r="M75" s="132"/>
      <c r="N75" s="132"/>
      <c r="O75" s="133"/>
      <c r="Q75" s="281"/>
      <c r="R75" s="298" t="s">
        <v>332</v>
      </c>
      <c r="S75" s="316"/>
      <c r="T75" s="316"/>
      <c r="U75" s="316"/>
      <c r="V75" s="316"/>
      <c r="W75" s="316"/>
      <c r="X75" s="316"/>
      <c r="Y75" s="316"/>
      <c r="Z75" s="316"/>
      <c r="AA75" s="316"/>
      <c r="AB75" s="316"/>
      <c r="AC75" s="316"/>
      <c r="AD75" s="316"/>
      <c r="AE75" s="316"/>
      <c r="AF75" s="316"/>
      <c r="AG75" s="282"/>
    </row>
    <row r="76" spans="2:33" s="83" customFormat="1" ht="20.100000000000001" customHeight="1" outlineLevel="1" x14ac:dyDescent="0.25">
      <c r="B76" s="131"/>
      <c r="C76" s="132"/>
      <c r="D76" s="132"/>
      <c r="E76" s="132"/>
      <c r="F76" s="132"/>
      <c r="G76" s="132"/>
      <c r="H76" s="132"/>
      <c r="I76" s="132"/>
      <c r="J76" s="132"/>
      <c r="K76" s="132"/>
      <c r="L76" s="132"/>
      <c r="M76" s="132"/>
      <c r="N76" s="132"/>
      <c r="O76" s="133"/>
      <c r="Q76" s="281"/>
      <c r="R76" s="656" t="s">
        <v>384</v>
      </c>
      <c r="S76" s="656"/>
      <c r="T76" s="656"/>
      <c r="U76" s="656"/>
      <c r="V76" s="656"/>
      <c r="W76" s="316"/>
      <c r="X76" s="316"/>
      <c r="Y76" s="316"/>
      <c r="Z76" s="316"/>
      <c r="AA76" s="316"/>
      <c r="AB76" s="316"/>
      <c r="AC76" s="316"/>
      <c r="AD76" s="316"/>
      <c r="AE76" s="316"/>
      <c r="AF76" s="316"/>
      <c r="AG76" s="282"/>
    </row>
    <row r="77" spans="2:33" outlineLevel="1" x14ac:dyDescent="0.25">
      <c r="B77" s="136"/>
      <c r="C77" s="137"/>
      <c r="D77" s="137"/>
      <c r="E77" s="137"/>
      <c r="F77" s="137"/>
      <c r="G77" s="137"/>
      <c r="H77" s="137"/>
      <c r="I77" s="137"/>
      <c r="J77" s="137"/>
      <c r="K77" s="137"/>
      <c r="L77" s="137"/>
      <c r="M77" s="137"/>
      <c r="N77" s="137"/>
      <c r="O77" s="140"/>
      <c r="Q77" s="285"/>
      <c r="R77" s="657"/>
      <c r="S77" s="657"/>
      <c r="T77" s="657"/>
      <c r="U77" s="657"/>
      <c r="V77" s="657"/>
      <c r="W77" s="286"/>
      <c r="X77" s="286"/>
      <c r="Y77" s="286"/>
      <c r="Z77" s="286"/>
      <c r="AA77" s="286"/>
      <c r="AB77" s="286"/>
      <c r="AC77" s="286"/>
      <c r="AD77" s="286"/>
      <c r="AE77" s="286"/>
      <c r="AF77" s="286"/>
      <c r="AG77" s="284"/>
    </row>
    <row r="78" spans="2:33" x14ac:dyDescent="0.25">
      <c r="B78" s="88"/>
    </row>
  </sheetData>
  <customSheetViews>
    <customSheetView guid="{2E70E708-B73C-4323-9253-4875EF82DB2B}" scale="90" showGridLines="0" hiddenRows="1">
      <pane ySplit="2" topLeftCell="A3" activePane="bottomLeft" state="frozen"/>
      <selection pane="bottomLeft" activeCell="R12" sqref="R12"/>
    </customSheetView>
  </customSheetViews>
  <mergeCells count="53">
    <mergeCell ref="B50:O50"/>
    <mergeCell ref="R74:W74"/>
    <mergeCell ref="R76:V77"/>
    <mergeCell ref="R66:X66"/>
    <mergeCell ref="R68:W68"/>
    <mergeCell ref="R70:U71"/>
    <mergeCell ref="R67:S67"/>
    <mergeCell ref="Y63:AE66"/>
    <mergeCell ref="R29:V30"/>
    <mergeCell ref="R34:V35"/>
    <mergeCell ref="R27:V28"/>
    <mergeCell ref="R9:AE9"/>
    <mergeCell ref="Y59:AE60"/>
    <mergeCell ref="R22:T24"/>
    <mergeCell ref="Y53:AE53"/>
    <mergeCell ref="R53:V53"/>
    <mergeCell ref="R55:X56"/>
    <mergeCell ref="R59:W60"/>
    <mergeCell ref="R63:X64"/>
    <mergeCell ref="Y55:AE56"/>
    <mergeCell ref="Y29:AE29"/>
    <mergeCell ref="C3:O3"/>
    <mergeCell ref="H47:M47"/>
    <mergeCell ref="H43:M43"/>
    <mergeCell ref="H44:M44"/>
    <mergeCell ref="H45:M45"/>
    <mergeCell ref="H46:M46"/>
    <mergeCell ref="D47:E47"/>
    <mergeCell ref="F43:G43"/>
    <mergeCell ref="F44:G44"/>
    <mergeCell ref="F45:G45"/>
    <mergeCell ref="F46:G46"/>
    <mergeCell ref="F47:G47"/>
    <mergeCell ref="D43:E43"/>
    <mergeCell ref="D44:E44"/>
    <mergeCell ref="G30:H30"/>
    <mergeCell ref="K36:L36"/>
    <mergeCell ref="Q3:AE4"/>
    <mergeCell ref="C38:M38"/>
    <mergeCell ref="C40:M40"/>
    <mergeCell ref="D45:E45"/>
    <mergeCell ref="D46:E46"/>
    <mergeCell ref="G29:H29"/>
    <mergeCell ref="C29:D29"/>
    <mergeCell ref="K29:L29"/>
    <mergeCell ref="C36:E36"/>
    <mergeCell ref="G36:H36"/>
    <mergeCell ref="F9:G9"/>
    <mergeCell ref="C13:F13"/>
    <mergeCell ref="L9:M9"/>
    <mergeCell ref="C11:M11"/>
    <mergeCell ref="K13:M13"/>
    <mergeCell ref="H13:I13"/>
  </mergeCells>
  <conditionalFormatting sqref="P11:Q11">
    <cfRule type="iconSet" priority="1">
      <iconSet>
        <cfvo type="percent" val="0"/>
        <cfvo type="percent" val="33"/>
        <cfvo type="percent" val="67"/>
      </iconSet>
    </cfRule>
  </conditionalFormatting>
  <dataValidations count="3">
    <dataValidation type="textLength" operator="equal" allowBlank="1" showInputMessage="1" showErrorMessage="1" error="Plant code consists of 2 digits" sqref="G22">
      <formula1>2</formula1>
    </dataValidation>
    <dataValidation type="textLength" operator="equal" allowBlank="1" showInputMessage="1" showErrorMessage="1" error="The IPS-L Destination consists of 8 digits" sqref="C22">
      <formula1>8</formula1>
    </dataValidation>
    <dataValidation type="textLength" operator="equal" allowBlank="1" showInputMessage="1" showErrorMessage="1" error="The PLC AKZ consists of 8 digits" sqref="H13">
      <formula1>8</formula1>
    </dataValidation>
  </dataValidations>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rowBreaks count="1" manualBreakCount="1">
    <brk id="49" max="15" man="1"/>
  </rowBreaks>
  <drawing r:id="rId2"/>
  <legacyDrawing r:id="rId3"/>
  <controls>
    <mc:AlternateContent xmlns:mc="http://schemas.openxmlformats.org/markup-compatibility/2006">
      <mc:Choice Requires="x14">
        <control shapeId="11292" r:id="rId4" name="CP_Communication">
          <controlPr defaultSize="0" autoLine="0" r:id="rId5">
            <anchor moveWithCells="1">
              <from>
                <xdr:col>3</xdr:col>
                <xdr:colOff>266700</xdr:colOff>
                <xdr:row>25</xdr:row>
                <xdr:rowOff>190500</xdr:rowOff>
              </from>
              <to>
                <xdr:col>6</xdr:col>
                <xdr:colOff>457200</xdr:colOff>
                <xdr:row>27</xdr:row>
                <xdr:rowOff>53340</xdr:rowOff>
              </to>
            </anchor>
          </controlPr>
        </control>
      </mc:Choice>
      <mc:Fallback>
        <control shapeId="11292" r:id="rId4" name="CP_Communication"/>
      </mc:Fallback>
    </mc:AlternateContent>
    <mc:AlternateContent xmlns:mc="http://schemas.openxmlformats.org/markup-compatibility/2006">
      <mc:Choice Requires="x14">
        <control shapeId="11281" r:id="rId6" name="Empty_Tacts">
          <controlPr defaultSize="0" autoLine="0" r:id="rId7">
            <anchor moveWithCells="1">
              <from>
                <xdr:col>3</xdr:col>
                <xdr:colOff>495300</xdr:colOff>
                <xdr:row>56</xdr:row>
                <xdr:rowOff>121920</xdr:rowOff>
              </from>
              <to>
                <xdr:col>6</xdr:col>
                <xdr:colOff>541020</xdr:colOff>
                <xdr:row>57</xdr:row>
                <xdr:rowOff>190500</xdr:rowOff>
              </to>
            </anchor>
          </controlPr>
        </control>
      </mc:Choice>
      <mc:Fallback>
        <control shapeId="11281" r:id="rId6" name="Empty_Tacts"/>
      </mc:Fallback>
    </mc:AlternateContent>
    <mc:AlternateContent xmlns:mc="http://schemas.openxmlformats.org/markup-compatibility/2006">
      <mc:Choice Requires="x14">
        <control shapeId="11279" r:id="rId8" name="PING_PLC">
          <controlPr defaultSize="0" autoLine="0" r:id="rId9">
            <anchor moveWithCells="1">
              <from>
                <xdr:col>7</xdr:col>
                <xdr:colOff>213360</xdr:colOff>
                <xdr:row>66</xdr:row>
                <xdr:rowOff>213360</xdr:rowOff>
              </from>
              <to>
                <xdr:col>10</xdr:col>
                <xdr:colOff>647700</xdr:colOff>
                <xdr:row>67</xdr:row>
                <xdr:rowOff>15240</xdr:rowOff>
              </to>
            </anchor>
          </controlPr>
        </control>
      </mc:Choice>
      <mc:Fallback>
        <control shapeId="11279" r:id="rId8" name="PING_PLC"/>
      </mc:Fallback>
    </mc:AlternateContent>
    <mc:AlternateContent xmlns:mc="http://schemas.openxmlformats.org/markup-compatibility/2006">
      <mc:Choice Requires="x14">
        <control shapeId="11278" r:id="rId10" name="PING_IPS">
          <controlPr defaultSize="0" autoLine="0" r:id="rId11">
            <anchor moveWithCells="1">
              <from>
                <xdr:col>1</xdr:col>
                <xdr:colOff>655320</xdr:colOff>
                <xdr:row>66</xdr:row>
                <xdr:rowOff>190500</xdr:rowOff>
              </from>
              <to>
                <xdr:col>5</xdr:col>
                <xdr:colOff>243840</xdr:colOff>
                <xdr:row>67</xdr:row>
                <xdr:rowOff>45720</xdr:rowOff>
              </to>
            </anchor>
          </controlPr>
        </control>
      </mc:Choice>
      <mc:Fallback>
        <control shapeId="11278" r:id="rId10" name="PING_IPS"/>
      </mc:Fallback>
    </mc:AlternateContent>
    <mc:AlternateContent xmlns:mc="http://schemas.openxmlformats.org/markup-compatibility/2006">
      <mc:Choice Requires="x14">
        <control shapeId="11277" r:id="rId12" name="SPS_DATA_ZUORMOGE">
          <controlPr defaultSize="0" autoLine="0" r:id="rId13">
            <anchor moveWithCells="1">
              <from>
                <xdr:col>7</xdr:col>
                <xdr:colOff>381000</xdr:colOff>
                <xdr:row>71</xdr:row>
                <xdr:rowOff>198120</xdr:rowOff>
              </from>
              <to>
                <xdr:col>13</xdr:col>
                <xdr:colOff>7620</xdr:colOff>
                <xdr:row>72</xdr:row>
                <xdr:rowOff>182880</xdr:rowOff>
              </to>
            </anchor>
          </controlPr>
        </control>
      </mc:Choice>
      <mc:Fallback>
        <control shapeId="11277" r:id="rId12" name="SPS_DATA_ZUORMOGE"/>
      </mc:Fallback>
    </mc:AlternateContent>
    <mc:AlternateContent xmlns:mc="http://schemas.openxmlformats.org/markup-compatibility/2006">
      <mc:Choice Requires="x14">
        <control shapeId="11276" r:id="rId14" name="IPS_DATA">
          <controlPr defaultSize="0" autoLine="0" r:id="rId15">
            <anchor moveWithCells="1">
              <from>
                <xdr:col>7</xdr:col>
                <xdr:colOff>220980</xdr:colOff>
                <xdr:row>61</xdr:row>
                <xdr:rowOff>83820</xdr:rowOff>
              </from>
              <to>
                <xdr:col>10</xdr:col>
                <xdr:colOff>60960</xdr:colOff>
                <xdr:row>62</xdr:row>
                <xdr:rowOff>22860</xdr:rowOff>
              </to>
            </anchor>
          </controlPr>
        </control>
      </mc:Choice>
      <mc:Fallback>
        <control shapeId="11276" r:id="rId14" name="IPS_DATA"/>
      </mc:Fallback>
    </mc:AlternateContent>
    <mc:AlternateContent xmlns:mc="http://schemas.openxmlformats.org/markup-compatibility/2006">
      <mc:Choice Requires="x14">
        <control shapeId="11275" r:id="rId16" name="Trigger">
          <controlPr defaultSize="0" autoLine="0" r:id="rId17">
            <anchor moveWithCells="1">
              <from>
                <xdr:col>1</xdr:col>
                <xdr:colOff>647700</xdr:colOff>
                <xdr:row>56</xdr:row>
                <xdr:rowOff>121920</xdr:rowOff>
              </from>
              <to>
                <xdr:col>3</xdr:col>
                <xdr:colOff>502920</xdr:colOff>
                <xdr:row>57</xdr:row>
                <xdr:rowOff>190500</xdr:rowOff>
              </to>
            </anchor>
          </controlPr>
        </control>
      </mc:Choice>
      <mc:Fallback>
        <control shapeId="11275" r:id="rId16" name="Trigger"/>
      </mc:Fallback>
    </mc:AlternateContent>
    <mc:AlternateContent xmlns:mc="http://schemas.openxmlformats.org/markup-compatibility/2006">
      <mc:Choice Requires="x14">
        <control shapeId="11274" r:id="rId18" name="SEQ_REQU">
          <controlPr defaultSize="0" autoLine="0" r:id="rId19">
            <anchor moveWithCells="1">
              <from>
                <xdr:col>7</xdr:col>
                <xdr:colOff>220980</xdr:colOff>
                <xdr:row>51</xdr:row>
                <xdr:rowOff>76200</xdr:rowOff>
              </from>
              <to>
                <xdr:col>9</xdr:col>
                <xdr:colOff>655320</xdr:colOff>
                <xdr:row>52</xdr:row>
                <xdr:rowOff>76200</xdr:rowOff>
              </to>
            </anchor>
          </controlPr>
        </control>
      </mc:Choice>
      <mc:Fallback>
        <control shapeId="11274" r:id="rId18" name="SEQ_REQU"/>
      </mc:Fallback>
    </mc:AlternateContent>
    <mc:AlternateContent xmlns:mc="http://schemas.openxmlformats.org/markup-compatibility/2006">
      <mc:Choice Requires="x14">
        <control shapeId="11273" r:id="rId20" name="TEL_REQU">
          <controlPr defaultSize="0" autoLine="0" r:id="rId21">
            <anchor moveWithCells="1">
              <from>
                <xdr:col>1</xdr:col>
                <xdr:colOff>640080</xdr:colOff>
                <xdr:row>51</xdr:row>
                <xdr:rowOff>60960</xdr:rowOff>
              </from>
              <to>
                <xdr:col>3</xdr:col>
                <xdr:colOff>373380</xdr:colOff>
                <xdr:row>52</xdr:row>
                <xdr:rowOff>76200</xdr:rowOff>
              </to>
            </anchor>
          </controlPr>
        </control>
      </mc:Choice>
      <mc:Fallback>
        <control shapeId="11273" r:id="rId20" name="TEL_REQU"/>
      </mc:Fallback>
    </mc:AlternateContent>
    <mc:AlternateContent xmlns:mc="http://schemas.openxmlformats.org/markup-compatibility/2006">
      <mc:Choice Requires="x14">
        <control shapeId="11280" r:id="rId22" name="SPS_DATA_VINRSULT">
          <controlPr defaultSize="0" autoLine="0" r:id="rId23">
            <anchor moveWithCells="1">
              <from>
                <xdr:col>1</xdr:col>
                <xdr:colOff>670560</xdr:colOff>
                <xdr:row>71</xdr:row>
                <xdr:rowOff>190500</xdr:rowOff>
              </from>
              <to>
                <xdr:col>5</xdr:col>
                <xdr:colOff>601980</xdr:colOff>
                <xdr:row>72</xdr:row>
                <xdr:rowOff>175260</xdr:rowOff>
              </to>
            </anchor>
          </controlPr>
        </control>
      </mc:Choice>
      <mc:Fallback>
        <control shapeId="11280" r:id="rId22" name="SPS_DATA_VINRSULT"/>
      </mc:Fallback>
    </mc:AlternateContent>
    <mc:AlternateContent xmlns:mc="http://schemas.openxmlformats.org/markup-compatibility/2006">
      <mc:Choice Requires="x14">
        <control shapeId="11293" r:id="rId24" name="IPS_MOVE">
          <controlPr defaultSize="0" autoLine="0" r:id="rId25">
            <anchor moveWithCells="1">
              <from>
                <xdr:col>1</xdr:col>
                <xdr:colOff>655320</xdr:colOff>
                <xdr:row>61</xdr:row>
                <xdr:rowOff>152400</xdr:rowOff>
              </from>
              <to>
                <xdr:col>5</xdr:col>
                <xdr:colOff>441960</xdr:colOff>
                <xdr:row>62</xdr:row>
                <xdr:rowOff>30480</xdr:rowOff>
              </to>
            </anchor>
          </controlPr>
        </control>
      </mc:Choice>
      <mc:Fallback>
        <control shapeId="11293" r:id="rId24" name="IPS_MO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rgb="FFFFFF00"/>
  </sheetPr>
  <dimension ref="A1:Y18"/>
  <sheetViews>
    <sheetView showGridLines="0" topLeftCell="B1" zoomScale="80" zoomScaleNormal="80" workbookViewId="0">
      <pane ySplit="3" topLeftCell="A4" activePane="bottomLeft" state="frozen"/>
      <selection activeCell="A3" sqref="A3:C4"/>
      <selection pane="bottomLeft" activeCell="C15" sqref="C15:H15"/>
    </sheetView>
  </sheetViews>
  <sheetFormatPr baseColWidth="10" defaultColWidth="11.44140625" defaultRowHeight="13.2" x14ac:dyDescent="0.25"/>
  <cols>
    <col min="1" max="1" width="4.109375" style="83" customWidth="1"/>
    <col min="2" max="2" width="8.5546875" style="83" customWidth="1"/>
    <col min="3" max="8" width="11.44140625" style="83"/>
    <col min="9" max="9" width="2.109375" style="83" customWidth="1"/>
    <col min="10" max="12" width="11.44140625" style="83"/>
    <col min="13" max="13" width="4.88671875" style="83" customWidth="1"/>
    <col min="14" max="15" width="3.109375" style="83" customWidth="1"/>
    <col min="16" max="23" width="11.44140625" style="83"/>
    <col min="24" max="24" width="12.33203125" style="83" customWidth="1"/>
    <col min="25" max="16384" width="11.44140625" style="83"/>
  </cols>
  <sheetData>
    <row r="1" spans="1:25" ht="9" customHeight="1" x14ac:dyDescent="0.25"/>
    <row r="2" spans="1:25" ht="41.25" customHeight="1" x14ac:dyDescent="0.25">
      <c r="C2" s="650" t="s">
        <v>286</v>
      </c>
      <c r="D2" s="650"/>
      <c r="E2" s="650"/>
      <c r="F2" s="650"/>
      <c r="G2" s="650"/>
      <c r="H2" s="650"/>
      <c r="I2" s="650"/>
      <c r="J2" s="650"/>
      <c r="K2" s="650"/>
      <c r="L2" s="650"/>
      <c r="M2" s="650"/>
      <c r="N2" s="446"/>
      <c r="O2" s="446"/>
      <c r="P2" s="446"/>
      <c r="Q2" s="446"/>
    </row>
    <row r="3" spans="1:25" ht="24" customHeight="1" x14ac:dyDescent="0.25"/>
    <row r="4" spans="1:25" ht="3" customHeight="1" x14ac:dyDescent="0.25">
      <c r="A4" s="106"/>
      <c r="B4" s="105"/>
      <c r="C4" s="119"/>
      <c r="D4" s="119"/>
      <c r="E4" s="105"/>
      <c r="F4" s="105"/>
      <c r="G4" s="105"/>
      <c r="H4" s="105"/>
      <c r="I4" s="105"/>
      <c r="J4" s="105"/>
      <c r="K4" s="105"/>
      <c r="L4" s="105"/>
      <c r="M4" s="105"/>
    </row>
    <row r="5" spans="1:25" s="94" customFormat="1" x14ac:dyDescent="0.25">
      <c r="A5" s="108"/>
      <c r="C5" s="120"/>
      <c r="D5" s="120"/>
      <c r="G5" s="83" t="s">
        <v>406</v>
      </c>
    </row>
    <row r="6" spans="1:25" ht="15.6" x14ac:dyDescent="0.3">
      <c r="B6" s="113" t="s">
        <v>393</v>
      </c>
      <c r="C6" s="90"/>
      <c r="D6" s="118"/>
      <c r="G6" s="83" t="s">
        <v>407</v>
      </c>
    </row>
    <row r="7" spans="1:25" x14ac:dyDescent="0.25">
      <c r="B7" s="455"/>
      <c r="C7" s="456" t="s">
        <v>395</v>
      </c>
      <c r="D7" s="319"/>
      <c r="E7" s="319"/>
      <c r="F7" s="319"/>
      <c r="G7" s="319"/>
      <c r="H7" s="319"/>
      <c r="I7" s="319"/>
      <c r="J7" s="319" t="s">
        <v>394</v>
      </c>
      <c r="K7" s="129"/>
      <c r="L7" s="129"/>
      <c r="M7" s="130"/>
      <c r="O7" s="277"/>
      <c r="P7" s="318"/>
      <c r="Q7" s="279"/>
      <c r="R7" s="279"/>
      <c r="S7" s="279"/>
      <c r="T7" s="279"/>
      <c r="U7" s="279"/>
      <c r="V7" s="279"/>
      <c r="W7" s="279"/>
      <c r="X7" s="280"/>
    </row>
    <row r="8" spans="1:25" x14ac:dyDescent="0.25">
      <c r="B8" s="131"/>
      <c r="C8" s="132"/>
      <c r="D8" s="132"/>
      <c r="E8" s="142"/>
      <c r="F8" s="132"/>
      <c r="G8" s="132"/>
      <c r="H8" s="132"/>
      <c r="I8" s="132"/>
      <c r="J8" s="132"/>
      <c r="K8" s="132"/>
      <c r="L8" s="132"/>
      <c r="M8" s="133"/>
      <c r="O8" s="281"/>
      <c r="P8" s="658" t="s">
        <v>402</v>
      </c>
      <c r="Q8" s="658"/>
      <c r="R8" s="658"/>
      <c r="S8" s="658"/>
      <c r="T8" s="658"/>
      <c r="U8" s="658"/>
      <c r="V8" s="658"/>
      <c r="W8" s="658"/>
      <c r="X8" s="671"/>
    </row>
    <row r="9" spans="1:25" ht="56.25" customHeight="1" x14ac:dyDescent="0.25">
      <c r="B9" s="131"/>
      <c r="C9" s="664" t="s">
        <v>401</v>
      </c>
      <c r="D9" s="665"/>
      <c r="E9" s="665"/>
      <c r="F9" s="665"/>
      <c r="G9" s="665"/>
      <c r="H9" s="665"/>
      <c r="I9" s="132"/>
      <c r="J9" s="666"/>
      <c r="K9" s="667"/>
      <c r="L9" s="668"/>
      <c r="M9" s="133"/>
      <c r="O9" s="285"/>
      <c r="P9" s="660"/>
      <c r="Q9" s="660"/>
      <c r="R9" s="660"/>
      <c r="S9" s="660"/>
      <c r="T9" s="660"/>
      <c r="U9" s="660"/>
      <c r="V9" s="660"/>
      <c r="W9" s="660"/>
      <c r="X9" s="672"/>
    </row>
    <row r="10" spans="1:25" x14ac:dyDescent="0.25">
      <c r="B10" s="131"/>
      <c r="C10" s="132"/>
      <c r="D10" s="132"/>
      <c r="E10" s="132"/>
      <c r="F10" s="132"/>
      <c r="G10" s="132"/>
      <c r="H10" s="132"/>
      <c r="I10" s="132"/>
      <c r="J10" s="132"/>
      <c r="K10" s="132"/>
      <c r="L10" s="132"/>
      <c r="M10" s="133"/>
      <c r="O10" s="447"/>
      <c r="P10" s="448"/>
      <c r="Q10" s="448"/>
      <c r="R10" s="448"/>
      <c r="S10" s="448"/>
      <c r="T10" s="448"/>
      <c r="U10" s="448"/>
      <c r="V10" s="448"/>
      <c r="W10" s="448"/>
      <c r="X10" s="448"/>
    </row>
    <row r="11" spans="1:25" ht="57" customHeight="1" x14ac:dyDescent="0.25">
      <c r="B11" s="131"/>
      <c r="C11" s="664" t="s">
        <v>398</v>
      </c>
      <c r="D11" s="665"/>
      <c r="E11" s="665"/>
      <c r="F11" s="665"/>
      <c r="G11" s="665"/>
      <c r="H11" s="665"/>
      <c r="I11" s="132"/>
      <c r="J11" s="666"/>
      <c r="K11" s="667"/>
      <c r="L11" s="668"/>
      <c r="M11" s="133"/>
      <c r="O11" s="454"/>
      <c r="P11" s="673" t="s">
        <v>403</v>
      </c>
      <c r="Q11" s="673"/>
      <c r="R11" s="673"/>
      <c r="S11" s="673"/>
      <c r="T11" s="673"/>
      <c r="U11" s="673"/>
      <c r="V11" s="673"/>
      <c r="W11" s="673"/>
      <c r="X11" s="674"/>
    </row>
    <row r="12" spans="1:25" x14ac:dyDescent="0.25">
      <c r="B12" s="131"/>
      <c r="C12" s="132"/>
      <c r="D12" s="132"/>
      <c r="E12" s="132"/>
      <c r="F12" s="132"/>
      <c r="G12" s="132"/>
      <c r="H12" s="132"/>
      <c r="I12" s="132"/>
      <c r="J12" s="132"/>
      <c r="K12" s="132"/>
      <c r="L12" s="132"/>
      <c r="M12" s="133"/>
      <c r="O12" s="447"/>
      <c r="P12" s="448"/>
      <c r="Q12" s="448"/>
      <c r="R12" s="448"/>
      <c r="S12" s="448"/>
      <c r="T12" s="448"/>
      <c r="U12" s="448"/>
      <c r="V12" s="448"/>
      <c r="W12" s="448"/>
      <c r="X12" s="448"/>
    </row>
    <row r="13" spans="1:25" ht="56.25" customHeight="1" x14ac:dyDescent="0.25">
      <c r="B13" s="131"/>
      <c r="C13" s="664" t="s">
        <v>399</v>
      </c>
      <c r="D13" s="665"/>
      <c r="E13" s="665"/>
      <c r="F13" s="665"/>
      <c r="G13" s="665"/>
      <c r="H13" s="665"/>
      <c r="I13" s="132"/>
      <c r="J13" s="666"/>
      <c r="K13" s="667"/>
      <c r="L13" s="668"/>
      <c r="M13" s="133"/>
      <c r="O13" s="277"/>
      <c r="P13" s="673" t="s">
        <v>400</v>
      </c>
      <c r="Q13" s="673"/>
      <c r="R13" s="673"/>
      <c r="S13" s="673"/>
      <c r="T13" s="673"/>
      <c r="U13" s="673"/>
      <c r="V13" s="673"/>
      <c r="W13" s="673"/>
      <c r="X13" s="674"/>
    </row>
    <row r="14" spans="1:25" x14ac:dyDescent="0.25">
      <c r="B14" s="131"/>
      <c r="C14" s="132"/>
      <c r="D14" s="132"/>
      <c r="E14" s="132"/>
      <c r="F14" s="132"/>
      <c r="G14" s="132"/>
      <c r="H14" s="132"/>
      <c r="I14" s="132"/>
      <c r="J14" s="132"/>
      <c r="K14" s="132"/>
      <c r="L14" s="132"/>
      <c r="M14" s="133"/>
      <c r="O14" s="453"/>
      <c r="P14" s="452"/>
      <c r="Q14" s="452"/>
      <c r="R14" s="452"/>
      <c r="S14" s="453"/>
      <c r="T14" s="453"/>
      <c r="U14" s="453"/>
      <c r="V14" s="453"/>
      <c r="W14" s="453"/>
      <c r="X14" s="453"/>
    </row>
    <row r="15" spans="1:25" ht="56.25" customHeight="1" x14ac:dyDescent="0.25">
      <c r="B15" s="131"/>
      <c r="C15" s="664" t="s">
        <v>396</v>
      </c>
      <c r="D15" s="665"/>
      <c r="E15" s="665"/>
      <c r="F15" s="665"/>
      <c r="G15" s="665"/>
      <c r="H15" s="665"/>
      <c r="I15" s="132"/>
      <c r="J15" s="666"/>
      <c r="K15" s="667"/>
      <c r="L15" s="668"/>
      <c r="M15" s="133"/>
      <c r="O15" s="454"/>
      <c r="P15" s="673" t="s">
        <v>404</v>
      </c>
      <c r="Q15" s="673"/>
      <c r="R15" s="673"/>
      <c r="S15" s="673"/>
      <c r="T15" s="673"/>
      <c r="U15" s="673"/>
      <c r="V15" s="673"/>
      <c r="W15" s="673"/>
      <c r="X15" s="674"/>
    </row>
    <row r="16" spans="1:25" x14ac:dyDescent="0.25">
      <c r="B16" s="131"/>
      <c r="C16" s="132"/>
      <c r="D16" s="132"/>
      <c r="E16" s="132"/>
      <c r="F16" s="132"/>
      <c r="G16" s="132"/>
      <c r="H16" s="132"/>
      <c r="I16" s="132"/>
      <c r="J16" s="132"/>
      <c r="K16" s="132"/>
      <c r="L16" s="132"/>
      <c r="M16" s="133"/>
      <c r="N16" s="447"/>
      <c r="O16" s="447"/>
      <c r="P16" s="448"/>
      <c r="Q16" s="448"/>
      <c r="R16" s="448"/>
      <c r="S16" s="447"/>
      <c r="T16" s="447"/>
      <c r="U16" s="447"/>
      <c r="V16" s="447"/>
      <c r="W16" s="447"/>
      <c r="X16" s="447"/>
      <c r="Y16" s="447"/>
    </row>
    <row r="17" spans="2:24" ht="57" customHeight="1" x14ac:dyDescent="0.25">
      <c r="B17" s="131"/>
      <c r="C17" s="664" t="s">
        <v>397</v>
      </c>
      <c r="D17" s="665"/>
      <c r="E17" s="665"/>
      <c r="F17" s="665"/>
      <c r="G17" s="665"/>
      <c r="H17" s="665"/>
      <c r="I17" s="132"/>
      <c r="J17" s="666"/>
      <c r="K17" s="667"/>
      <c r="L17" s="668"/>
      <c r="M17" s="133"/>
      <c r="O17" s="277"/>
      <c r="P17" s="669" t="s">
        <v>405</v>
      </c>
      <c r="Q17" s="669"/>
      <c r="R17" s="669"/>
      <c r="S17" s="669"/>
      <c r="T17" s="669"/>
      <c r="U17" s="669"/>
      <c r="V17" s="669"/>
      <c r="W17" s="669"/>
      <c r="X17" s="670"/>
    </row>
    <row r="18" spans="2:24" x14ac:dyDescent="0.25">
      <c r="B18" s="136"/>
      <c r="C18" s="137"/>
      <c r="D18" s="137"/>
      <c r="E18" s="137"/>
      <c r="F18" s="137"/>
      <c r="G18" s="137"/>
      <c r="H18" s="137"/>
      <c r="I18" s="137"/>
      <c r="J18" s="137"/>
      <c r="K18" s="137"/>
      <c r="L18" s="137"/>
      <c r="M18" s="140"/>
      <c r="O18" s="285"/>
      <c r="P18" s="449"/>
      <c r="Q18" s="449"/>
      <c r="R18" s="449"/>
      <c r="S18" s="286"/>
      <c r="T18" s="286"/>
      <c r="U18" s="286"/>
      <c r="V18" s="286"/>
      <c r="W18" s="286"/>
      <c r="X18" s="284"/>
    </row>
  </sheetData>
  <mergeCells count="16">
    <mergeCell ref="P17:X17"/>
    <mergeCell ref="P8:X9"/>
    <mergeCell ref="C9:H9"/>
    <mergeCell ref="C13:H13"/>
    <mergeCell ref="C15:H15"/>
    <mergeCell ref="P13:X13"/>
    <mergeCell ref="P15:X15"/>
    <mergeCell ref="P11:X11"/>
    <mergeCell ref="C2:M2"/>
    <mergeCell ref="C17:H17"/>
    <mergeCell ref="J17:L17"/>
    <mergeCell ref="J9:L9"/>
    <mergeCell ref="J13:L13"/>
    <mergeCell ref="J15:L15"/>
    <mergeCell ref="J11:L11"/>
    <mergeCell ref="C11:H11"/>
  </mergeCells>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from>
                    <xdr:col>1</xdr:col>
                    <xdr:colOff>289560</xdr:colOff>
                    <xdr:row>8</xdr:row>
                    <xdr:rowOff>228600</xdr:rowOff>
                  </from>
                  <to>
                    <xdr:col>2</xdr:col>
                    <xdr:colOff>22860</xdr:colOff>
                    <xdr:row>8</xdr:row>
                    <xdr:rowOff>449580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from>
                    <xdr:col>1</xdr:col>
                    <xdr:colOff>289560</xdr:colOff>
                    <xdr:row>12</xdr:row>
                    <xdr:rowOff>220980</xdr:rowOff>
                  </from>
                  <to>
                    <xdr:col>2</xdr:col>
                    <xdr:colOff>22860</xdr:colOff>
                    <xdr:row>12</xdr:row>
                    <xdr:rowOff>441960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from>
                    <xdr:col>1</xdr:col>
                    <xdr:colOff>289560</xdr:colOff>
                    <xdr:row>14</xdr:row>
                    <xdr:rowOff>220980</xdr:rowOff>
                  </from>
                  <to>
                    <xdr:col>2</xdr:col>
                    <xdr:colOff>22860</xdr:colOff>
                    <xdr:row>14</xdr:row>
                    <xdr:rowOff>441960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from>
                    <xdr:col>1</xdr:col>
                    <xdr:colOff>289560</xdr:colOff>
                    <xdr:row>16</xdr:row>
                    <xdr:rowOff>220980</xdr:rowOff>
                  </from>
                  <to>
                    <xdr:col>2</xdr:col>
                    <xdr:colOff>22860</xdr:colOff>
                    <xdr:row>16</xdr:row>
                    <xdr:rowOff>441960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from>
                    <xdr:col>1</xdr:col>
                    <xdr:colOff>289560</xdr:colOff>
                    <xdr:row>10</xdr:row>
                    <xdr:rowOff>228600</xdr:rowOff>
                  </from>
                  <to>
                    <xdr:col>2</xdr:col>
                    <xdr:colOff>22860</xdr:colOff>
                    <xdr:row>10</xdr:row>
                    <xdr:rowOff>449580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rgb="FFFFFF00"/>
  </sheetPr>
  <dimension ref="A1:O39"/>
  <sheetViews>
    <sheetView showGridLines="0" zoomScale="80" zoomScaleNormal="80" zoomScaleSheetLayoutView="80" workbookViewId="0">
      <pane ySplit="4" topLeftCell="A5" activePane="bottomLeft" state="frozen"/>
      <selection activeCell="A3" sqref="A3:C4"/>
      <selection pane="bottomLeft" activeCell="A3" sqref="A3:C4"/>
    </sheetView>
  </sheetViews>
  <sheetFormatPr baseColWidth="10" defaultRowHeight="13.2" outlineLevelRow="1" x14ac:dyDescent="0.25"/>
  <cols>
    <col min="1" max="1" width="4.109375" customWidth="1"/>
  </cols>
  <sheetData>
    <row r="1" spans="1:15" s="83" customFormat="1" ht="9" customHeight="1" x14ac:dyDescent="0.25"/>
    <row r="2" spans="1:15" s="83" customFormat="1" ht="41.25" customHeight="1" x14ac:dyDescent="0.25">
      <c r="C2" s="650" t="s">
        <v>286</v>
      </c>
      <c r="D2" s="650"/>
      <c r="E2" s="650"/>
      <c r="F2" s="650"/>
      <c r="G2" s="650"/>
      <c r="H2" s="650"/>
      <c r="I2" s="650"/>
      <c r="J2" s="650"/>
      <c r="K2" s="650"/>
      <c r="L2" s="288"/>
      <c r="M2" s="288"/>
      <c r="N2" s="288"/>
      <c r="O2" s="288"/>
    </row>
    <row r="3" spans="1:15" s="83" customFormat="1" ht="24" customHeight="1" x14ac:dyDescent="0.25"/>
    <row r="4" spans="1:15" ht="3" customHeight="1" x14ac:dyDescent="0.25">
      <c r="A4" s="106"/>
      <c r="B4" s="105"/>
      <c r="C4" s="119"/>
      <c r="D4" s="119"/>
      <c r="E4" s="105"/>
      <c r="F4" s="105"/>
      <c r="G4" s="105"/>
      <c r="H4" s="105"/>
      <c r="I4" s="105"/>
      <c r="J4" s="105"/>
      <c r="K4" s="105"/>
    </row>
    <row r="5" spans="1:15" s="94" customFormat="1" x14ac:dyDescent="0.25">
      <c r="A5" s="108"/>
      <c r="C5" s="120"/>
      <c r="D5" s="120"/>
    </row>
    <row r="6" spans="1:15" ht="15.6" x14ac:dyDescent="0.3">
      <c r="A6" s="83"/>
      <c r="B6" s="113" t="s">
        <v>188</v>
      </c>
      <c r="C6" s="90"/>
      <c r="D6" s="118"/>
      <c r="E6" s="83"/>
      <c r="F6" s="83"/>
      <c r="G6" s="83"/>
      <c r="H6" s="83"/>
    </row>
    <row r="7" spans="1:15" s="83" customFormat="1" outlineLevel="1" x14ac:dyDescent="0.25">
      <c r="B7" s="128"/>
      <c r="C7" s="141"/>
      <c r="D7" s="141"/>
      <c r="E7" s="129"/>
      <c r="F7" s="129"/>
      <c r="G7" s="129"/>
      <c r="H7" s="129"/>
      <c r="I7" s="129"/>
      <c r="J7" s="129"/>
      <c r="K7" s="130"/>
    </row>
    <row r="8" spans="1:15" s="83" customFormat="1" ht="30" customHeight="1" outlineLevel="1" x14ac:dyDescent="0.25">
      <c r="B8" s="131"/>
      <c r="C8" s="266"/>
      <c r="D8" s="142"/>
      <c r="E8" s="681"/>
      <c r="F8" s="680"/>
      <c r="G8" s="132"/>
      <c r="H8" s="112"/>
      <c r="I8" s="132"/>
      <c r="J8" s="117"/>
      <c r="K8" s="133"/>
    </row>
    <row r="9" spans="1:15" outlineLevel="1" x14ac:dyDescent="0.25">
      <c r="A9" s="83"/>
      <c r="B9" s="131"/>
      <c r="C9" s="135" t="s">
        <v>168</v>
      </c>
      <c r="D9" s="142"/>
      <c r="E9" s="107" t="s">
        <v>308</v>
      </c>
      <c r="F9" s="132"/>
      <c r="G9" s="132"/>
      <c r="H9" s="107" t="s">
        <v>187</v>
      </c>
      <c r="I9" s="132"/>
      <c r="J9" s="107" t="s">
        <v>170</v>
      </c>
      <c r="K9" s="133"/>
    </row>
    <row r="10" spans="1:15" s="83" customFormat="1" outlineLevel="1" x14ac:dyDescent="0.25">
      <c r="B10" s="131"/>
      <c r="C10" s="135"/>
      <c r="D10" s="142"/>
      <c r="E10" s="107"/>
      <c r="F10" s="132"/>
      <c r="G10" s="132"/>
      <c r="H10" s="107"/>
      <c r="I10" s="132"/>
      <c r="J10" s="107"/>
      <c r="K10" s="133"/>
    </row>
    <row r="11" spans="1:15" s="83" customFormat="1" outlineLevel="1" x14ac:dyDescent="0.25">
      <c r="B11" s="131"/>
      <c r="C11" s="134" t="s">
        <v>226</v>
      </c>
      <c r="D11" s="142"/>
      <c r="E11" s="107"/>
      <c r="F11" s="132"/>
      <c r="G11" s="132"/>
      <c r="H11" s="132"/>
      <c r="I11" s="107"/>
      <c r="J11" s="132"/>
      <c r="K11" s="133"/>
    </row>
    <row r="12" spans="1:15" ht="30" customHeight="1" outlineLevel="1" x14ac:dyDescent="0.25">
      <c r="A12" s="83"/>
      <c r="B12" s="131"/>
      <c r="C12" s="678"/>
      <c r="D12" s="680"/>
      <c r="E12" s="132"/>
      <c r="F12" s="681"/>
      <c r="G12" s="680"/>
      <c r="H12" s="132"/>
      <c r="I12" s="142"/>
      <c r="J12" s="142"/>
      <c r="K12" s="133"/>
    </row>
    <row r="13" spans="1:15" s="83" customFormat="1" outlineLevel="1" x14ac:dyDescent="0.25">
      <c r="B13" s="131"/>
      <c r="C13" s="107" t="s">
        <v>178</v>
      </c>
      <c r="D13" s="132"/>
      <c r="E13" s="132"/>
      <c r="F13" s="107" t="s">
        <v>185</v>
      </c>
      <c r="G13" s="132"/>
      <c r="H13" s="132"/>
      <c r="I13" s="142"/>
      <c r="J13" s="142"/>
      <c r="K13" s="133"/>
    </row>
    <row r="14" spans="1:15" s="83" customFormat="1" outlineLevel="1" x14ac:dyDescent="0.25">
      <c r="B14" s="131"/>
      <c r="C14" s="107"/>
      <c r="D14" s="132"/>
      <c r="E14" s="132"/>
      <c r="F14" s="107"/>
      <c r="G14" s="132"/>
      <c r="H14" s="132"/>
      <c r="I14" s="142"/>
      <c r="J14" s="142"/>
      <c r="K14" s="133"/>
    </row>
    <row r="15" spans="1:15" s="83" customFormat="1" ht="30" customHeight="1" outlineLevel="1" x14ac:dyDescent="0.25">
      <c r="B15" s="131"/>
      <c r="C15" s="678"/>
      <c r="D15" s="680"/>
      <c r="E15" s="132"/>
      <c r="F15" s="681"/>
      <c r="G15" s="680"/>
      <c r="H15" s="132"/>
      <c r="I15" s="142"/>
      <c r="J15" s="142"/>
      <c r="K15" s="133"/>
    </row>
    <row r="16" spans="1:15" outlineLevel="1" x14ac:dyDescent="0.25">
      <c r="A16" s="83"/>
      <c r="B16" s="131"/>
      <c r="C16" s="107" t="s">
        <v>224</v>
      </c>
      <c r="D16" s="132"/>
      <c r="E16" s="132"/>
      <c r="F16" s="107" t="s">
        <v>225</v>
      </c>
      <c r="G16" s="132"/>
      <c r="H16" s="132"/>
      <c r="I16" s="107"/>
      <c r="J16" s="132"/>
      <c r="K16" s="133"/>
    </row>
    <row r="17" spans="1:11" s="83" customFormat="1" outlineLevel="1" x14ac:dyDescent="0.25">
      <c r="B17" s="131"/>
      <c r="C17" s="107"/>
      <c r="D17" s="132"/>
      <c r="E17" s="132"/>
      <c r="F17" s="107"/>
      <c r="G17" s="132"/>
      <c r="H17" s="132"/>
      <c r="I17" s="107"/>
      <c r="J17" s="132"/>
      <c r="K17" s="133"/>
    </row>
    <row r="18" spans="1:11" ht="30" customHeight="1" outlineLevel="1" x14ac:dyDescent="0.25">
      <c r="A18" s="83"/>
      <c r="B18" s="131"/>
      <c r="C18" s="681"/>
      <c r="D18" s="682"/>
      <c r="E18" s="132"/>
      <c r="F18" s="678"/>
      <c r="G18" s="680"/>
      <c r="H18" s="132"/>
      <c r="I18" s="132"/>
      <c r="J18" s="132"/>
      <c r="K18" s="133"/>
    </row>
    <row r="19" spans="1:11" outlineLevel="1" x14ac:dyDescent="0.25">
      <c r="A19" s="83"/>
      <c r="B19" s="131"/>
      <c r="C19" s="107" t="s">
        <v>180</v>
      </c>
      <c r="D19" s="132"/>
      <c r="E19" s="132"/>
      <c r="F19" s="107" t="s">
        <v>179</v>
      </c>
      <c r="G19" s="132"/>
      <c r="H19" s="132"/>
      <c r="I19" s="132"/>
      <c r="J19" s="132"/>
      <c r="K19" s="133"/>
    </row>
    <row r="20" spans="1:11" s="83" customFormat="1" outlineLevel="1" x14ac:dyDescent="0.25">
      <c r="B20" s="131"/>
      <c r="C20" s="107"/>
      <c r="D20" s="132"/>
      <c r="E20" s="132"/>
      <c r="F20" s="107"/>
      <c r="G20" s="132"/>
      <c r="H20" s="132"/>
      <c r="I20" s="132"/>
      <c r="J20" s="132"/>
      <c r="K20" s="133"/>
    </row>
    <row r="21" spans="1:11" ht="30" customHeight="1" outlineLevel="1" x14ac:dyDescent="0.25">
      <c r="A21" s="83"/>
      <c r="B21" s="131"/>
      <c r="C21" s="683"/>
      <c r="D21" s="680"/>
      <c r="E21" s="132"/>
      <c r="F21" s="678"/>
      <c r="G21" s="680"/>
      <c r="H21" s="132"/>
      <c r="I21" s="132"/>
      <c r="J21" s="132"/>
      <c r="K21" s="133"/>
    </row>
    <row r="22" spans="1:11" outlineLevel="1" x14ac:dyDescent="0.25">
      <c r="A22" s="83"/>
      <c r="B22" s="131"/>
      <c r="C22" s="107" t="s">
        <v>181</v>
      </c>
      <c r="D22" s="132"/>
      <c r="E22" s="132"/>
      <c r="F22" s="107" t="s">
        <v>182</v>
      </c>
      <c r="G22" s="132"/>
      <c r="H22" s="132"/>
      <c r="I22" s="132"/>
      <c r="J22" s="132"/>
      <c r="K22" s="133"/>
    </row>
    <row r="23" spans="1:11" s="83" customFormat="1" outlineLevel="1" x14ac:dyDescent="0.25">
      <c r="B23" s="131"/>
      <c r="C23" s="107"/>
      <c r="D23" s="132"/>
      <c r="E23" s="132"/>
      <c r="F23" s="107"/>
      <c r="G23" s="132"/>
      <c r="H23" s="132"/>
      <c r="I23" s="132"/>
      <c r="J23" s="132"/>
      <c r="K23" s="133"/>
    </row>
    <row r="24" spans="1:11" ht="30" customHeight="1" outlineLevel="1" x14ac:dyDescent="0.25">
      <c r="A24" s="83"/>
      <c r="B24" s="131"/>
      <c r="C24" s="678"/>
      <c r="D24" s="679"/>
      <c r="E24" s="680"/>
      <c r="F24" s="132"/>
      <c r="G24" s="132"/>
      <c r="H24" s="132"/>
      <c r="I24" s="678"/>
      <c r="J24" s="680"/>
      <c r="K24" s="133"/>
    </row>
    <row r="25" spans="1:11" outlineLevel="1" x14ac:dyDescent="0.25">
      <c r="A25" s="83"/>
      <c r="B25" s="131"/>
      <c r="C25" s="107" t="s">
        <v>183</v>
      </c>
      <c r="D25" s="132"/>
      <c r="E25" s="132"/>
      <c r="F25" s="132"/>
      <c r="G25" s="132"/>
      <c r="H25" s="132"/>
      <c r="I25" s="107" t="s">
        <v>184</v>
      </c>
      <c r="J25" s="132"/>
      <c r="K25" s="133"/>
    </row>
    <row r="26" spans="1:11" s="83" customFormat="1" outlineLevel="1" x14ac:dyDescent="0.25">
      <c r="B26" s="131"/>
      <c r="C26" s="107"/>
      <c r="D26" s="132"/>
      <c r="E26" s="132"/>
      <c r="F26" s="132"/>
      <c r="G26" s="132"/>
      <c r="H26" s="132"/>
      <c r="I26" s="107"/>
      <c r="J26" s="132"/>
      <c r="K26" s="133"/>
    </row>
    <row r="27" spans="1:11" ht="30" customHeight="1" outlineLevel="1" x14ac:dyDescent="0.25">
      <c r="A27" s="83"/>
      <c r="B27" s="131"/>
      <c r="C27" s="678"/>
      <c r="D27" s="679"/>
      <c r="E27" s="680"/>
      <c r="F27" s="132"/>
      <c r="G27" s="132"/>
      <c r="H27" s="132"/>
      <c r="I27" s="132"/>
      <c r="J27" s="132"/>
      <c r="K27" s="133"/>
    </row>
    <row r="28" spans="1:11" s="83" customFormat="1" outlineLevel="1" x14ac:dyDescent="0.25">
      <c r="B28" s="131"/>
      <c r="C28" s="107" t="s">
        <v>186</v>
      </c>
      <c r="D28" s="132"/>
      <c r="E28" s="132"/>
      <c r="F28" s="132"/>
      <c r="G28" s="132"/>
      <c r="H28" s="132"/>
      <c r="I28" s="132"/>
      <c r="J28" s="132"/>
      <c r="K28" s="133"/>
    </row>
    <row r="29" spans="1:11" s="83" customFormat="1" outlineLevel="1" x14ac:dyDescent="0.25">
      <c r="B29" s="131"/>
      <c r="C29" s="107"/>
      <c r="D29" s="132"/>
      <c r="E29" s="132"/>
      <c r="F29" s="132"/>
      <c r="G29" s="132"/>
      <c r="H29" s="132"/>
      <c r="I29" s="132"/>
      <c r="J29" s="132"/>
      <c r="K29" s="133"/>
    </row>
    <row r="30" spans="1:11" s="83" customFormat="1" outlineLevel="1" x14ac:dyDescent="0.25">
      <c r="B30" s="131"/>
      <c r="C30" s="134" t="s">
        <v>227</v>
      </c>
      <c r="D30" s="132"/>
      <c r="E30" s="132"/>
      <c r="F30" s="132"/>
      <c r="G30" s="132"/>
      <c r="H30" s="132"/>
      <c r="I30" s="132"/>
      <c r="J30" s="132"/>
      <c r="K30" s="133"/>
    </row>
    <row r="31" spans="1:11" s="83" customFormat="1" ht="160.5" customHeight="1" outlineLevel="1" x14ac:dyDescent="0.25">
      <c r="B31" s="131"/>
      <c r="C31" s="675"/>
      <c r="D31" s="676"/>
      <c r="E31" s="676"/>
      <c r="F31" s="676"/>
      <c r="G31" s="676"/>
      <c r="H31" s="676"/>
      <c r="I31" s="676"/>
      <c r="J31" s="677"/>
      <c r="K31" s="133"/>
    </row>
    <row r="32" spans="1:11" s="83" customFormat="1" outlineLevel="1" x14ac:dyDescent="0.25">
      <c r="B32" s="131"/>
      <c r="C32" s="107"/>
      <c r="D32" s="132"/>
      <c r="E32" s="132"/>
      <c r="F32" s="132"/>
      <c r="G32" s="132"/>
      <c r="H32" s="132"/>
      <c r="I32" s="132"/>
      <c r="J32" s="132"/>
      <c r="K32" s="133"/>
    </row>
    <row r="33" spans="2:11" outlineLevel="1" x14ac:dyDescent="0.25">
      <c r="B33" s="131"/>
      <c r="C33" s="132"/>
      <c r="D33" s="132"/>
      <c r="E33" s="132"/>
      <c r="F33" s="132"/>
      <c r="G33" s="132"/>
      <c r="H33" s="132"/>
      <c r="I33" s="132"/>
      <c r="J33" s="132"/>
      <c r="K33" s="133"/>
    </row>
    <row r="34" spans="2:11" outlineLevel="1" x14ac:dyDescent="0.25">
      <c r="B34" s="136"/>
      <c r="C34" s="137"/>
      <c r="D34" s="137"/>
      <c r="E34" s="137"/>
      <c r="F34" s="137"/>
      <c r="G34" s="137"/>
      <c r="H34" s="137"/>
      <c r="I34" s="137"/>
      <c r="J34" s="137"/>
      <c r="K34" s="140"/>
    </row>
    <row r="35" spans="2:11" s="109" customFormat="1" outlineLevel="1" x14ac:dyDescent="0.25">
      <c r="B35" s="153"/>
      <c r="C35" s="153"/>
      <c r="D35" s="153"/>
      <c r="E35" s="153"/>
      <c r="F35" s="153"/>
      <c r="G35" s="153"/>
      <c r="H35" s="153"/>
      <c r="I35" s="153"/>
      <c r="J35" s="153"/>
      <c r="K35" s="153"/>
    </row>
    <row r="36" spans="2:11" ht="15.6" x14ac:dyDescent="0.3">
      <c r="B36" s="113" t="s">
        <v>228</v>
      </c>
    </row>
    <row r="37" spans="2:11" x14ac:dyDescent="0.25">
      <c r="B37" s="153"/>
      <c r="C37" s="153"/>
      <c r="D37" s="153"/>
      <c r="E37" s="153"/>
      <c r="F37" s="153"/>
      <c r="G37" s="153"/>
      <c r="H37" s="153"/>
      <c r="I37" s="153"/>
      <c r="J37" s="153"/>
      <c r="K37" s="153"/>
    </row>
    <row r="38" spans="2:11" x14ac:dyDescent="0.25">
      <c r="B38" s="153"/>
      <c r="C38" s="153"/>
      <c r="D38" s="153"/>
      <c r="E38" s="153"/>
      <c r="F38" s="153"/>
      <c r="G38" s="153"/>
      <c r="H38" s="153"/>
      <c r="I38" s="153"/>
      <c r="J38" s="153"/>
      <c r="K38" s="153"/>
    </row>
    <row r="39" spans="2:11" x14ac:dyDescent="0.25">
      <c r="B39" s="153"/>
      <c r="C39" s="153"/>
      <c r="D39" s="153"/>
      <c r="E39" s="153"/>
      <c r="F39" s="153"/>
      <c r="G39" s="153"/>
      <c r="H39" s="153"/>
      <c r="I39" s="153"/>
      <c r="J39" s="153"/>
      <c r="K39" s="153"/>
    </row>
  </sheetData>
  <customSheetViews>
    <customSheetView guid="{2E70E708-B73C-4323-9253-4875EF82DB2B}">
      <selection activeCell="N11" sqref="N11"/>
    </customSheetView>
  </customSheetViews>
  <mergeCells count="14">
    <mergeCell ref="C2:K2"/>
    <mergeCell ref="C31:J31"/>
    <mergeCell ref="C27:E27"/>
    <mergeCell ref="E8:F8"/>
    <mergeCell ref="I24:J24"/>
    <mergeCell ref="C12:D12"/>
    <mergeCell ref="F12:G12"/>
    <mergeCell ref="C15:D15"/>
    <mergeCell ref="F18:G18"/>
    <mergeCell ref="C18:D18"/>
    <mergeCell ref="C21:D21"/>
    <mergeCell ref="F21:G21"/>
    <mergeCell ref="C24:E24"/>
    <mergeCell ref="F15:G15"/>
  </mergeCells>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M18"/>
  <sheetViews>
    <sheetView showGridLines="0" zoomScale="80" zoomScaleNormal="80" zoomScaleSheetLayoutView="80" workbookViewId="0">
      <selection activeCell="F14" sqref="F14"/>
    </sheetView>
  </sheetViews>
  <sheetFormatPr baseColWidth="10" defaultRowHeight="13.2" x14ac:dyDescent="0.25"/>
  <cols>
    <col min="1" max="2" width="5.6640625" style="83" customWidth="1"/>
    <col min="3" max="3" width="12.44140625" customWidth="1"/>
    <col min="4" max="4" width="11.5546875" bestFit="1" customWidth="1"/>
    <col min="5" max="5" width="17.109375" bestFit="1" customWidth="1"/>
    <col min="6" max="6" width="27.33203125" bestFit="1" customWidth="1"/>
    <col min="7" max="7" width="15.6640625" customWidth="1"/>
    <col min="8" max="8" width="51.6640625" bestFit="1" customWidth="1"/>
    <col min="9" max="9" width="20.33203125" customWidth="1"/>
  </cols>
  <sheetData>
    <row r="1" spans="2:13" s="83" customFormat="1" ht="15" customHeight="1" x14ac:dyDescent="0.25"/>
    <row r="2" spans="2:13" s="83" customFormat="1" ht="15" customHeight="1" x14ac:dyDescent="0.3">
      <c r="C2" s="150" t="s">
        <v>189</v>
      </c>
    </row>
    <row r="3" spans="2:13" ht="15" customHeight="1" thickBot="1" x14ac:dyDescent="0.3"/>
    <row r="4" spans="2:13" ht="21" customHeight="1" thickBot="1" x14ac:dyDescent="0.3">
      <c r="B4" s="321"/>
      <c r="C4" s="322" t="s">
        <v>83</v>
      </c>
      <c r="D4" s="323" t="s">
        <v>84</v>
      </c>
      <c r="E4" s="324" t="s">
        <v>85</v>
      </c>
      <c r="F4" s="323" t="s">
        <v>86</v>
      </c>
      <c r="G4" s="323" t="s">
        <v>14</v>
      </c>
      <c r="H4" s="323" t="s">
        <v>87</v>
      </c>
    </row>
    <row r="5" spans="2:13" ht="39" customHeight="1" thickBot="1" x14ac:dyDescent="0.3">
      <c r="B5" s="684" t="s">
        <v>62</v>
      </c>
      <c r="C5" s="229" t="s">
        <v>2</v>
      </c>
      <c r="D5" s="325">
        <v>8</v>
      </c>
      <c r="E5" s="178" t="s">
        <v>374</v>
      </c>
      <c r="F5" s="376" t="str">
        <f>Filled_by_requestor!H13</f>
        <v>TMOAKZ01</v>
      </c>
      <c r="G5" s="326" t="s">
        <v>96</v>
      </c>
      <c r="H5" s="327" t="s">
        <v>99</v>
      </c>
      <c r="L5" s="83"/>
      <c r="M5" s="83"/>
    </row>
    <row r="6" spans="2:13" ht="40.200000000000003" thickBot="1" x14ac:dyDescent="0.3">
      <c r="B6" s="685"/>
      <c r="C6" s="328" t="s">
        <v>3</v>
      </c>
      <c r="D6" s="329">
        <v>8</v>
      </c>
      <c r="E6" s="178" t="s">
        <v>375</v>
      </c>
      <c r="F6" s="376" t="str">
        <f>Filled_by_requestor!C22</f>
        <v>IPSL0110</v>
      </c>
      <c r="G6" s="326" t="s">
        <v>96</v>
      </c>
      <c r="H6" s="331" t="s">
        <v>319</v>
      </c>
    </row>
    <row r="7" spans="2:13" ht="26.25" customHeight="1" thickBot="1" x14ac:dyDescent="0.3">
      <c r="B7" s="685"/>
      <c r="C7" s="328" t="s">
        <v>4</v>
      </c>
      <c r="D7" s="329">
        <v>8</v>
      </c>
      <c r="E7" s="330" t="s">
        <v>10</v>
      </c>
      <c r="F7" s="381" t="s">
        <v>0</v>
      </c>
      <c r="G7" s="326" t="s">
        <v>96</v>
      </c>
      <c r="H7" s="332" t="s">
        <v>94</v>
      </c>
    </row>
    <row r="8" spans="2:13" ht="45.75" customHeight="1" thickBot="1" x14ac:dyDescent="0.3">
      <c r="B8" s="685"/>
      <c r="C8" s="328" t="s">
        <v>5</v>
      </c>
      <c r="D8" s="329">
        <v>4</v>
      </c>
      <c r="E8" s="330" t="s">
        <v>16</v>
      </c>
      <c r="F8" s="381" t="s">
        <v>77</v>
      </c>
      <c r="G8" s="326" t="s">
        <v>96</v>
      </c>
      <c r="H8" s="333" t="s">
        <v>222</v>
      </c>
      <c r="I8" s="81"/>
    </row>
    <row r="9" spans="2:13" ht="26.25" customHeight="1" thickBot="1" x14ac:dyDescent="0.3">
      <c r="B9" s="685"/>
      <c r="C9" s="328" t="s">
        <v>6</v>
      </c>
      <c r="D9" s="329">
        <v>4</v>
      </c>
      <c r="E9" s="330" t="s">
        <v>17</v>
      </c>
      <c r="F9" s="381" t="s">
        <v>7</v>
      </c>
      <c r="G9" s="334" t="s">
        <v>97</v>
      </c>
      <c r="H9" s="332" t="s">
        <v>92</v>
      </c>
      <c r="I9" s="81"/>
    </row>
    <row r="10" spans="2:13" ht="26.25" customHeight="1" thickBot="1" x14ac:dyDescent="0.3">
      <c r="B10" s="686"/>
      <c r="C10" s="335" t="s">
        <v>22</v>
      </c>
      <c r="D10" s="336">
        <v>14</v>
      </c>
      <c r="E10" s="337" t="s">
        <v>11</v>
      </c>
      <c r="F10" s="382" t="s">
        <v>23</v>
      </c>
      <c r="G10" s="338" t="s">
        <v>97</v>
      </c>
      <c r="H10" s="339" t="s">
        <v>93</v>
      </c>
      <c r="I10" s="144"/>
      <c r="J10" s="144"/>
    </row>
    <row r="11" spans="2:13" ht="26.25" customHeight="1" thickBot="1" x14ac:dyDescent="0.3">
      <c r="B11" s="687" t="s">
        <v>119</v>
      </c>
      <c r="C11" s="340" t="s">
        <v>35</v>
      </c>
      <c r="D11" s="341">
        <v>2</v>
      </c>
      <c r="E11" s="342" t="s">
        <v>28</v>
      </c>
      <c r="F11" s="377">
        <f>Filled_by_requestor!G22</f>
        <v>11</v>
      </c>
      <c r="G11" s="343" t="s">
        <v>97</v>
      </c>
      <c r="H11" s="344" t="s">
        <v>88</v>
      </c>
      <c r="K11" s="3"/>
    </row>
    <row r="12" spans="2:13" ht="26.25" customHeight="1" thickBot="1" x14ac:dyDescent="0.3">
      <c r="B12" s="688"/>
      <c r="C12" s="345" t="s">
        <v>36</v>
      </c>
      <c r="D12" s="346">
        <v>8</v>
      </c>
      <c r="E12" s="347" t="s">
        <v>29</v>
      </c>
      <c r="F12" s="378" t="str">
        <f>F5</f>
        <v>TMOAKZ01</v>
      </c>
      <c r="G12" s="348" t="s">
        <v>96</v>
      </c>
      <c r="H12" s="349" t="s">
        <v>30</v>
      </c>
    </row>
    <row r="13" spans="2:13" ht="26.25" customHeight="1" thickBot="1" x14ac:dyDescent="0.3">
      <c r="B13" s="688"/>
      <c r="C13" s="345" t="s">
        <v>24</v>
      </c>
      <c r="D13" s="346">
        <v>8</v>
      </c>
      <c r="E13" s="347" t="s">
        <v>31</v>
      </c>
      <c r="F13" s="383" t="s">
        <v>0</v>
      </c>
      <c r="G13" s="348" t="s">
        <v>96</v>
      </c>
      <c r="H13" s="349" t="s">
        <v>94</v>
      </c>
    </row>
    <row r="14" spans="2:13" ht="53.4" thickBot="1" x14ac:dyDescent="0.3">
      <c r="B14" s="688"/>
      <c r="C14" s="350" t="s">
        <v>44</v>
      </c>
      <c r="D14" s="351">
        <v>18</v>
      </c>
      <c r="E14" s="352" t="s">
        <v>32</v>
      </c>
      <c r="F14" s="384" t="s">
        <v>63</v>
      </c>
      <c r="G14" s="348" t="s">
        <v>96</v>
      </c>
      <c r="H14" s="353" t="s">
        <v>240</v>
      </c>
      <c r="I14" s="81"/>
    </row>
    <row r="15" spans="2:13" ht="26.25" customHeight="1" thickBot="1" x14ac:dyDescent="0.3">
      <c r="B15" s="689"/>
      <c r="C15" s="354" t="s">
        <v>45</v>
      </c>
      <c r="D15" s="355">
        <v>4</v>
      </c>
      <c r="E15" s="356" t="s">
        <v>33</v>
      </c>
      <c r="F15" s="385" t="s">
        <v>37</v>
      </c>
      <c r="G15" s="357" t="s">
        <v>98</v>
      </c>
      <c r="H15" s="358" t="s">
        <v>37</v>
      </c>
      <c r="I15" s="81"/>
    </row>
    <row r="16" spans="2:13" ht="42" customHeight="1" thickBot="1" x14ac:dyDescent="0.3">
      <c r="B16" s="690" t="s">
        <v>230</v>
      </c>
      <c r="C16" s="359" t="s">
        <v>195</v>
      </c>
      <c r="D16" s="360">
        <v>8</v>
      </c>
      <c r="E16" s="361" t="s">
        <v>70</v>
      </c>
      <c r="F16" s="379" t="str">
        <f>Filled_by_requestor!N52</f>
        <v xml:space="preserve">Z3000   </v>
      </c>
      <c r="G16" s="362" t="s">
        <v>96</v>
      </c>
      <c r="H16" s="363" t="s">
        <v>351</v>
      </c>
      <c r="I16" s="81"/>
      <c r="L16" s="3"/>
    </row>
    <row r="17" spans="2:10" ht="26.25" customHeight="1" thickBot="1" x14ac:dyDescent="0.3">
      <c r="B17" s="691"/>
      <c r="C17" s="359" t="s">
        <v>196</v>
      </c>
      <c r="D17" s="360">
        <v>12</v>
      </c>
      <c r="E17" s="364" t="s">
        <v>12</v>
      </c>
      <c r="F17" s="386" t="s">
        <v>74</v>
      </c>
      <c r="G17" s="365" t="s">
        <v>96</v>
      </c>
      <c r="H17" s="363" t="s">
        <v>153</v>
      </c>
      <c r="I17" s="16"/>
      <c r="J17" s="17"/>
    </row>
    <row r="18" spans="2:10" ht="26.25" customHeight="1" thickBot="1" x14ac:dyDescent="0.3">
      <c r="B18" s="692"/>
      <c r="C18" s="366" t="s">
        <v>197</v>
      </c>
      <c r="D18" s="367">
        <v>2</v>
      </c>
      <c r="E18" s="368" t="s">
        <v>13</v>
      </c>
      <c r="F18" s="380" t="str">
        <f>Filled_by_requestor!K22</f>
        <v>OR</v>
      </c>
      <c r="G18" s="369" t="s">
        <v>96</v>
      </c>
      <c r="H18" s="370" t="s">
        <v>69</v>
      </c>
      <c r="I18" s="143"/>
      <c r="J18" s="19"/>
    </row>
  </sheetData>
  <customSheetViews>
    <customSheetView guid="{2E70E708-B73C-4323-9253-4875EF82DB2B}" scale="80" showPageBreaks="1" topLeftCell="A7">
      <selection activeCell="G48" sqref="G48"/>
    </customSheetView>
  </customSheetViews>
  <mergeCells count="3">
    <mergeCell ref="B5:B10"/>
    <mergeCell ref="B11:B15"/>
    <mergeCell ref="B16:B18"/>
  </mergeCells>
  <phoneticPr fontId="7" type="noConversion"/>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M20"/>
  <sheetViews>
    <sheetView showGridLines="0" zoomScale="80" zoomScaleNormal="80" zoomScaleSheetLayoutView="80" workbookViewId="0">
      <selection activeCell="F14" sqref="F14"/>
    </sheetView>
  </sheetViews>
  <sheetFormatPr baseColWidth="10" defaultRowHeight="13.2" x14ac:dyDescent="0.25"/>
  <cols>
    <col min="1" max="1" width="5.6640625" style="83" customWidth="1"/>
    <col min="2" max="2" width="5.6640625" customWidth="1"/>
    <col min="3" max="3" width="14.33203125" customWidth="1"/>
    <col min="4" max="4" width="11.6640625" customWidth="1"/>
    <col min="5" max="5" width="18.5546875" customWidth="1"/>
    <col min="6" max="6" width="27.33203125" bestFit="1" customWidth="1"/>
    <col min="7" max="7" width="15.6640625" customWidth="1"/>
    <col min="8" max="8" width="52.109375" customWidth="1"/>
    <col min="9" max="9" width="17.5546875" customWidth="1"/>
  </cols>
  <sheetData>
    <row r="1" spans="2:13" ht="15" customHeight="1" x14ac:dyDescent="0.25"/>
    <row r="2" spans="2:13" ht="15" customHeight="1" x14ac:dyDescent="0.3">
      <c r="C2" s="85" t="s">
        <v>190</v>
      </c>
    </row>
    <row r="3" spans="2:13" s="83" customFormat="1" ht="15" customHeight="1" thickBot="1" x14ac:dyDescent="0.35">
      <c r="C3" s="85"/>
    </row>
    <row r="4" spans="2:13" ht="21" customHeight="1" thickBot="1" x14ac:dyDescent="0.3">
      <c r="B4" s="88"/>
      <c r="C4" s="24" t="s">
        <v>83</v>
      </c>
      <c r="D4" s="25" t="s">
        <v>84</v>
      </c>
      <c r="E4" s="26" t="s">
        <v>85</v>
      </c>
      <c r="F4" s="25" t="s">
        <v>86</v>
      </c>
      <c r="G4" s="25" t="s">
        <v>14</v>
      </c>
      <c r="H4" s="25" t="s">
        <v>87</v>
      </c>
    </row>
    <row r="5" spans="2:13" ht="27" thickBot="1" x14ac:dyDescent="0.3">
      <c r="B5" s="693" t="s">
        <v>62</v>
      </c>
      <c r="C5" s="174" t="s">
        <v>2</v>
      </c>
      <c r="D5" s="36">
        <v>8</v>
      </c>
      <c r="E5" s="178" t="s">
        <v>374</v>
      </c>
      <c r="F5" s="387" t="str">
        <f>Filled_by_requestor!H13</f>
        <v>TMOAKZ01</v>
      </c>
      <c r="G5" s="175" t="s">
        <v>96</v>
      </c>
      <c r="H5" s="30" t="s">
        <v>99</v>
      </c>
    </row>
    <row r="6" spans="2:13" ht="40.200000000000003" thickBot="1" x14ac:dyDescent="0.3">
      <c r="B6" s="694"/>
      <c r="C6" s="176" t="s">
        <v>3</v>
      </c>
      <c r="D6" s="177">
        <v>8</v>
      </c>
      <c r="E6" s="178" t="s">
        <v>375</v>
      </c>
      <c r="F6" s="387" t="str">
        <f>Filled_by_requestor!C22</f>
        <v>IPSL0110</v>
      </c>
      <c r="G6" s="175" t="s">
        <v>96</v>
      </c>
      <c r="H6" s="179" t="s">
        <v>319</v>
      </c>
    </row>
    <row r="7" spans="2:13" ht="26.25" customHeight="1" thickBot="1" x14ac:dyDescent="0.3">
      <c r="B7" s="694"/>
      <c r="C7" s="176" t="s">
        <v>4</v>
      </c>
      <c r="D7" s="177">
        <v>8</v>
      </c>
      <c r="E7" s="178" t="s">
        <v>10</v>
      </c>
      <c r="F7" s="393" t="s">
        <v>9</v>
      </c>
      <c r="G7" s="175" t="s">
        <v>96</v>
      </c>
      <c r="H7" s="93" t="s">
        <v>94</v>
      </c>
    </row>
    <row r="8" spans="2:13" ht="40.5" customHeight="1" thickBot="1" x14ac:dyDescent="0.3">
      <c r="B8" s="694"/>
      <c r="C8" s="176" t="s">
        <v>5</v>
      </c>
      <c r="D8" s="177">
        <v>4</v>
      </c>
      <c r="E8" s="178" t="s">
        <v>16</v>
      </c>
      <c r="F8" s="394" t="s">
        <v>77</v>
      </c>
      <c r="G8" s="175" t="s">
        <v>96</v>
      </c>
      <c r="H8" s="102" t="s">
        <v>223</v>
      </c>
      <c r="I8" s="81"/>
    </row>
    <row r="9" spans="2:13" ht="26.25" customHeight="1" thickBot="1" x14ac:dyDescent="0.3">
      <c r="B9" s="694"/>
      <c r="C9" s="176" t="s">
        <v>6</v>
      </c>
      <c r="D9" s="177">
        <v>4</v>
      </c>
      <c r="E9" s="178" t="s">
        <v>17</v>
      </c>
      <c r="F9" s="394" t="s">
        <v>7</v>
      </c>
      <c r="G9" s="180" t="s">
        <v>97</v>
      </c>
      <c r="H9" s="93" t="s">
        <v>92</v>
      </c>
      <c r="I9" s="81"/>
    </row>
    <row r="10" spans="2:13" ht="26.25" customHeight="1" thickBot="1" x14ac:dyDescent="0.3">
      <c r="B10" s="695"/>
      <c r="C10" s="181" t="s">
        <v>22</v>
      </c>
      <c r="D10" s="45">
        <v>14</v>
      </c>
      <c r="E10" s="159" t="s">
        <v>11</v>
      </c>
      <c r="F10" s="395" t="s">
        <v>23</v>
      </c>
      <c r="G10" s="182" t="s">
        <v>97</v>
      </c>
      <c r="H10" s="160" t="s">
        <v>93</v>
      </c>
    </row>
    <row r="11" spans="2:13" ht="26.25" customHeight="1" thickBot="1" x14ac:dyDescent="0.3">
      <c r="B11" s="696" t="s">
        <v>119</v>
      </c>
      <c r="C11" s="183" t="s">
        <v>35</v>
      </c>
      <c r="D11" s="47">
        <v>2</v>
      </c>
      <c r="E11" s="161" t="s">
        <v>28</v>
      </c>
      <c r="F11" s="388">
        <f>Filled_by_requestor!G22</f>
        <v>11</v>
      </c>
      <c r="G11" s="48" t="s">
        <v>97</v>
      </c>
      <c r="H11" s="184" t="s">
        <v>88</v>
      </c>
      <c r="K11" s="3"/>
    </row>
    <row r="12" spans="2:13" ht="26.25" customHeight="1" thickBot="1" x14ac:dyDescent="0.3">
      <c r="B12" s="697"/>
      <c r="C12" s="185" t="s">
        <v>36</v>
      </c>
      <c r="D12" s="49">
        <v>8</v>
      </c>
      <c r="E12" s="163" t="s">
        <v>29</v>
      </c>
      <c r="F12" s="389" t="str">
        <f>F5</f>
        <v>TMOAKZ01</v>
      </c>
      <c r="G12" s="50" t="s">
        <v>96</v>
      </c>
      <c r="H12" s="186" t="s">
        <v>30</v>
      </c>
    </row>
    <row r="13" spans="2:13" ht="26.25" customHeight="1" thickBot="1" x14ac:dyDescent="0.3">
      <c r="B13" s="697"/>
      <c r="C13" s="185" t="s">
        <v>24</v>
      </c>
      <c r="D13" s="49">
        <v>8</v>
      </c>
      <c r="E13" s="163" t="s">
        <v>31</v>
      </c>
      <c r="F13" s="396" t="s">
        <v>9</v>
      </c>
      <c r="G13" s="50" t="s">
        <v>96</v>
      </c>
      <c r="H13" s="186" t="s">
        <v>94</v>
      </c>
    </row>
    <row r="14" spans="2:13" ht="53.4" thickBot="1" x14ac:dyDescent="0.3">
      <c r="B14" s="697"/>
      <c r="C14" s="187" t="s">
        <v>44</v>
      </c>
      <c r="D14" s="51">
        <v>18</v>
      </c>
      <c r="E14" s="165" t="s">
        <v>32</v>
      </c>
      <c r="F14" s="397" t="s">
        <v>63</v>
      </c>
      <c r="G14" s="50" t="s">
        <v>96</v>
      </c>
      <c r="H14" s="91" t="s">
        <v>239</v>
      </c>
    </row>
    <row r="15" spans="2:13" ht="26.25" customHeight="1" thickBot="1" x14ac:dyDescent="0.3">
      <c r="B15" s="698"/>
      <c r="C15" s="188" t="s">
        <v>45</v>
      </c>
      <c r="D15" s="54">
        <v>4</v>
      </c>
      <c r="E15" s="166" t="s">
        <v>33</v>
      </c>
      <c r="F15" s="398" t="s">
        <v>37</v>
      </c>
      <c r="G15" s="55" t="s">
        <v>98</v>
      </c>
      <c r="H15" s="189" t="s">
        <v>37</v>
      </c>
    </row>
    <row r="16" spans="2:13" ht="46.5" customHeight="1" thickBot="1" x14ac:dyDescent="0.3">
      <c r="B16" s="699" t="s">
        <v>231</v>
      </c>
      <c r="C16" s="190" t="s">
        <v>195</v>
      </c>
      <c r="D16" s="58">
        <v>8</v>
      </c>
      <c r="E16" s="167" t="s">
        <v>70</v>
      </c>
      <c r="F16" s="390" t="str">
        <f>Filled_by_requestor!N52</f>
        <v xml:space="preserve">Z3000   </v>
      </c>
      <c r="G16" s="191" t="s">
        <v>96</v>
      </c>
      <c r="H16" s="33" t="s">
        <v>351</v>
      </c>
      <c r="K16" s="3"/>
      <c r="L16" s="21"/>
      <c r="M16" s="21"/>
    </row>
    <row r="17" spans="2:10" ht="26.25" customHeight="1" thickBot="1" x14ac:dyDescent="0.3">
      <c r="B17" s="700"/>
      <c r="C17" s="190" t="s">
        <v>196</v>
      </c>
      <c r="D17" s="58">
        <v>12</v>
      </c>
      <c r="E17" s="192" t="s">
        <v>18</v>
      </c>
      <c r="F17" s="399" t="s">
        <v>74</v>
      </c>
      <c r="G17" s="193" t="s">
        <v>96</v>
      </c>
      <c r="H17" s="82" t="s">
        <v>154</v>
      </c>
      <c r="I17" s="16"/>
      <c r="J17" s="17"/>
    </row>
    <row r="18" spans="2:10" ht="26.25" customHeight="1" thickBot="1" x14ac:dyDescent="0.3">
      <c r="B18" s="700"/>
      <c r="C18" s="190" t="s">
        <v>197</v>
      </c>
      <c r="D18" s="58">
        <v>2</v>
      </c>
      <c r="E18" s="192" t="s">
        <v>13</v>
      </c>
      <c r="F18" s="391" t="str">
        <f>Filled_by_requestor!K22</f>
        <v>OR</v>
      </c>
      <c r="G18" s="199" t="s">
        <v>96</v>
      </c>
      <c r="H18" s="200" t="s">
        <v>69</v>
      </c>
      <c r="I18" s="18"/>
      <c r="J18" s="19"/>
    </row>
    <row r="19" spans="2:10" ht="26.25" customHeight="1" thickBot="1" x14ac:dyDescent="0.3">
      <c r="B19" s="700"/>
      <c r="C19" s="190" t="s">
        <v>198</v>
      </c>
      <c r="D19" s="58">
        <v>4</v>
      </c>
      <c r="E19" s="192" t="s">
        <v>19</v>
      </c>
      <c r="F19" s="392" t="str">
        <f>Filled_by_requestor!N54</f>
        <v>0005</v>
      </c>
      <c r="G19" s="201" t="s">
        <v>97</v>
      </c>
      <c r="H19" s="170" t="s">
        <v>243</v>
      </c>
      <c r="I19" s="9"/>
      <c r="J19" s="9"/>
    </row>
    <row r="20" spans="2:10" ht="29.25" customHeight="1" thickBot="1" x14ac:dyDescent="0.3">
      <c r="B20" s="701"/>
      <c r="C20" s="194" t="s">
        <v>199</v>
      </c>
      <c r="D20" s="195">
        <v>6</v>
      </c>
      <c r="E20" s="196" t="s">
        <v>71</v>
      </c>
      <c r="F20" s="400" t="s">
        <v>68</v>
      </c>
      <c r="G20" s="202" t="s">
        <v>97</v>
      </c>
      <c r="H20" s="203" t="s">
        <v>123</v>
      </c>
      <c r="I20" s="16"/>
      <c r="J20" s="17"/>
    </row>
  </sheetData>
  <customSheetViews>
    <customSheetView guid="{2E70E708-B73C-4323-9253-4875EF82DB2B}" showPageBreaks="1" topLeftCell="A30">
      <selection activeCell="D44" sqref="D44:I44"/>
    </customSheetView>
  </customSheetViews>
  <mergeCells count="3">
    <mergeCell ref="B5:B10"/>
    <mergeCell ref="B11:B15"/>
    <mergeCell ref="B16:B20"/>
  </mergeCells>
  <phoneticPr fontId="7" type="noConversion"/>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dimension ref="B1:K39"/>
  <sheetViews>
    <sheetView showGridLines="0" zoomScale="80" zoomScaleNormal="80" workbookViewId="0">
      <selection activeCell="F14" sqref="F14"/>
    </sheetView>
  </sheetViews>
  <sheetFormatPr baseColWidth="10" defaultRowHeight="13.2" x14ac:dyDescent="0.25"/>
  <cols>
    <col min="1" max="2" width="5.6640625" customWidth="1"/>
    <col min="3" max="3" width="12.5546875" customWidth="1"/>
    <col min="4" max="4" width="10" bestFit="1" customWidth="1"/>
    <col min="5" max="5" width="16.6640625" customWidth="1"/>
    <col min="6" max="6" width="27.33203125" bestFit="1" customWidth="1"/>
    <col min="7" max="7" width="16.33203125" customWidth="1"/>
    <col min="8" max="8" width="56" customWidth="1"/>
    <col min="9" max="9" width="15.109375" customWidth="1"/>
  </cols>
  <sheetData>
    <row r="1" spans="2:11" ht="15" customHeight="1" x14ac:dyDescent="0.25"/>
    <row r="2" spans="2:11" ht="15" customHeight="1" x14ac:dyDescent="0.4">
      <c r="C2" s="95" t="s">
        <v>214</v>
      </c>
      <c r="D2" s="15"/>
      <c r="E2" s="15"/>
      <c r="F2" s="15"/>
      <c r="G2" s="15"/>
      <c r="H2" s="15"/>
    </row>
    <row r="3" spans="2:11" s="83" customFormat="1" ht="15" customHeight="1" thickBot="1" x14ac:dyDescent="0.45">
      <c r="B3" s="95"/>
      <c r="C3" s="96"/>
      <c r="D3" s="96"/>
      <c r="E3" s="96"/>
      <c r="F3" s="96"/>
      <c r="G3" s="96"/>
      <c r="H3" s="96"/>
    </row>
    <row r="4" spans="2:11" ht="24.75" customHeight="1" thickBot="1" x14ac:dyDescent="0.3">
      <c r="B4" s="88"/>
      <c r="C4" s="24" t="s">
        <v>83</v>
      </c>
      <c r="D4" s="25" t="s">
        <v>84</v>
      </c>
      <c r="E4" s="26" t="s">
        <v>85</v>
      </c>
      <c r="F4" s="25" t="s">
        <v>86</v>
      </c>
      <c r="G4" s="25" t="s">
        <v>14</v>
      </c>
      <c r="H4" s="25" t="s">
        <v>87</v>
      </c>
    </row>
    <row r="5" spans="2:11" ht="40.200000000000003" thickBot="1" x14ac:dyDescent="0.3">
      <c r="B5" s="693" t="s">
        <v>62</v>
      </c>
      <c r="C5" s="86" t="s">
        <v>2</v>
      </c>
      <c r="D5" s="36">
        <v>8</v>
      </c>
      <c r="E5" s="178" t="s">
        <v>374</v>
      </c>
      <c r="F5" s="387" t="str">
        <f>Filled_by_requestor!C22</f>
        <v>IPSL0110</v>
      </c>
      <c r="G5" s="175" t="s">
        <v>96</v>
      </c>
      <c r="H5" s="38" t="s">
        <v>105</v>
      </c>
    </row>
    <row r="6" spans="2:11" ht="53.4" thickBot="1" x14ac:dyDescent="0.3">
      <c r="B6" s="694"/>
      <c r="C6" s="176" t="s">
        <v>3</v>
      </c>
      <c r="D6" s="177">
        <v>8</v>
      </c>
      <c r="E6" s="178" t="s">
        <v>375</v>
      </c>
      <c r="F6" s="387" t="str">
        <f>Filled_by_requestor!H13</f>
        <v>TMOAKZ01</v>
      </c>
      <c r="G6" s="175" t="s">
        <v>96</v>
      </c>
      <c r="H6" s="179" t="s">
        <v>106</v>
      </c>
    </row>
    <row r="7" spans="2:11" ht="66.599999999999994" thickBot="1" x14ac:dyDescent="0.3">
      <c r="B7" s="694"/>
      <c r="C7" s="176" t="s">
        <v>4</v>
      </c>
      <c r="D7" s="177">
        <v>8</v>
      </c>
      <c r="E7" s="178" t="s">
        <v>10</v>
      </c>
      <c r="F7" s="401" t="s">
        <v>81</v>
      </c>
      <c r="G7" s="175" t="s">
        <v>96</v>
      </c>
      <c r="H7" s="93" t="s">
        <v>220</v>
      </c>
    </row>
    <row r="8" spans="2:11" ht="26.25" customHeight="1" thickBot="1" x14ac:dyDescent="0.3">
      <c r="B8" s="694"/>
      <c r="C8" s="176" t="s">
        <v>5</v>
      </c>
      <c r="D8" s="177">
        <v>4</v>
      </c>
      <c r="E8" s="178" t="s">
        <v>16</v>
      </c>
      <c r="F8" s="394" t="s">
        <v>77</v>
      </c>
      <c r="G8" s="175" t="s">
        <v>96</v>
      </c>
      <c r="H8" s="93" t="s">
        <v>91</v>
      </c>
      <c r="I8" s="83"/>
    </row>
    <row r="9" spans="2:11" ht="26.25" customHeight="1" thickBot="1" x14ac:dyDescent="0.3">
      <c r="B9" s="694"/>
      <c r="C9" s="92" t="s">
        <v>6</v>
      </c>
      <c r="D9" s="43">
        <v>4</v>
      </c>
      <c r="E9" s="158" t="s">
        <v>17</v>
      </c>
      <c r="F9" s="402" t="s">
        <v>7</v>
      </c>
      <c r="G9" s="180" t="s">
        <v>97</v>
      </c>
      <c r="H9" s="93" t="s">
        <v>92</v>
      </c>
      <c r="I9" s="83"/>
    </row>
    <row r="10" spans="2:11" ht="16.2" thickBot="1" x14ac:dyDescent="0.3">
      <c r="B10" s="695"/>
      <c r="C10" s="97" t="s">
        <v>22</v>
      </c>
      <c r="D10" s="45">
        <v>14</v>
      </c>
      <c r="E10" s="159" t="s">
        <v>11</v>
      </c>
      <c r="F10" s="395" t="s">
        <v>23</v>
      </c>
      <c r="G10" s="182" t="s">
        <v>97</v>
      </c>
      <c r="H10" s="160" t="s">
        <v>93</v>
      </c>
    </row>
    <row r="11" spans="2:11" ht="19.5" customHeight="1" thickBot="1" x14ac:dyDescent="0.3">
      <c r="B11" s="696" t="s">
        <v>119</v>
      </c>
      <c r="C11" s="98" t="s">
        <v>35</v>
      </c>
      <c r="D11" s="47">
        <v>2</v>
      </c>
      <c r="E11" s="161" t="s">
        <v>28</v>
      </c>
      <c r="F11" s="388">
        <f>Filled_by_requestor!G22</f>
        <v>11</v>
      </c>
      <c r="G11" s="204" t="s">
        <v>97</v>
      </c>
      <c r="H11" s="162" t="s">
        <v>88</v>
      </c>
      <c r="I11" s="705" t="s">
        <v>149</v>
      </c>
      <c r="J11" s="707" t="s">
        <v>151</v>
      </c>
    </row>
    <row r="12" spans="2:11" ht="27" thickBot="1" x14ac:dyDescent="0.3">
      <c r="B12" s="697"/>
      <c r="C12" s="99" t="s">
        <v>36</v>
      </c>
      <c r="D12" s="49">
        <v>8</v>
      </c>
      <c r="E12" s="163" t="s">
        <v>29</v>
      </c>
      <c r="F12" s="389" t="str">
        <f>F6</f>
        <v>TMOAKZ01</v>
      </c>
      <c r="G12" s="205" t="s">
        <v>103</v>
      </c>
      <c r="H12" s="164" t="s">
        <v>30</v>
      </c>
      <c r="I12" s="706"/>
      <c r="J12" s="708"/>
    </row>
    <row r="13" spans="2:11" ht="24.75" customHeight="1" thickBot="1" x14ac:dyDescent="0.3">
      <c r="B13" s="697"/>
      <c r="C13" s="99" t="s">
        <v>24</v>
      </c>
      <c r="D13" s="49">
        <v>8</v>
      </c>
      <c r="E13" s="163" t="s">
        <v>31</v>
      </c>
      <c r="F13" s="396" t="s">
        <v>81</v>
      </c>
      <c r="G13" s="205" t="s">
        <v>103</v>
      </c>
      <c r="H13" s="164" t="s">
        <v>107</v>
      </c>
      <c r="I13" s="706"/>
      <c r="J13" s="708"/>
    </row>
    <row r="14" spans="2:11" ht="27" thickBot="1" x14ac:dyDescent="0.3">
      <c r="B14" s="697"/>
      <c r="C14" s="100" t="s">
        <v>44</v>
      </c>
      <c r="D14" s="51">
        <v>18</v>
      </c>
      <c r="E14" s="165" t="s">
        <v>32</v>
      </c>
      <c r="F14" s="397" t="s">
        <v>63</v>
      </c>
      <c r="G14" s="206" t="s">
        <v>103</v>
      </c>
      <c r="H14" s="103" t="s">
        <v>238</v>
      </c>
      <c r="I14" s="53" t="s">
        <v>150</v>
      </c>
      <c r="J14" s="709"/>
    </row>
    <row r="15" spans="2:11" ht="16.2" thickBot="1" x14ac:dyDescent="0.3">
      <c r="B15" s="698"/>
      <c r="C15" s="101" t="s">
        <v>45</v>
      </c>
      <c r="D15" s="54">
        <v>4</v>
      </c>
      <c r="E15" s="166" t="s">
        <v>33</v>
      </c>
      <c r="F15" s="398" t="s">
        <v>37</v>
      </c>
      <c r="G15" s="207" t="s">
        <v>103</v>
      </c>
      <c r="H15" s="56" t="s">
        <v>65</v>
      </c>
      <c r="I15" s="16"/>
      <c r="J15" s="20"/>
    </row>
    <row r="16" spans="2:11" ht="30" customHeight="1" thickBot="1" x14ac:dyDescent="0.3">
      <c r="B16" s="699" t="s">
        <v>231</v>
      </c>
      <c r="C16" s="190" t="s">
        <v>195</v>
      </c>
      <c r="D16" s="58">
        <v>8</v>
      </c>
      <c r="E16" s="167" t="s">
        <v>70</v>
      </c>
      <c r="F16" s="379" t="str">
        <f>Filled_by_requestor!N52</f>
        <v xml:space="preserve">Z3000   </v>
      </c>
      <c r="G16" s="208" t="s">
        <v>103</v>
      </c>
      <c r="H16" s="33" t="s">
        <v>247</v>
      </c>
      <c r="I16" s="16"/>
      <c r="J16" s="20"/>
      <c r="K16" s="3"/>
    </row>
    <row r="17" spans="2:10" ht="26.25" customHeight="1" thickBot="1" x14ac:dyDescent="0.3">
      <c r="B17" s="700"/>
      <c r="C17" s="190" t="s">
        <v>200</v>
      </c>
      <c r="D17" s="58">
        <v>8</v>
      </c>
      <c r="E17" s="192" t="s">
        <v>46</v>
      </c>
      <c r="F17" s="399" t="s">
        <v>245</v>
      </c>
      <c r="G17" s="208" t="s">
        <v>117</v>
      </c>
      <c r="H17" s="33" t="s">
        <v>108</v>
      </c>
      <c r="I17" s="7"/>
      <c r="J17" s="83"/>
    </row>
    <row r="18" spans="2:10" ht="16.2" thickBot="1" x14ac:dyDescent="0.3">
      <c r="B18" s="700"/>
      <c r="C18" s="190" t="s">
        <v>201</v>
      </c>
      <c r="D18" s="58">
        <v>12</v>
      </c>
      <c r="E18" s="192" t="s">
        <v>47</v>
      </c>
      <c r="F18" s="399" t="s">
        <v>72</v>
      </c>
      <c r="G18" s="208" t="s">
        <v>117</v>
      </c>
      <c r="H18" s="33" t="s">
        <v>109</v>
      </c>
      <c r="I18" s="16"/>
      <c r="J18" s="20"/>
    </row>
    <row r="19" spans="2:10" ht="16.2" thickBot="1" x14ac:dyDescent="0.3">
      <c r="B19" s="700"/>
      <c r="C19" s="190" t="s">
        <v>202</v>
      </c>
      <c r="D19" s="58">
        <v>8</v>
      </c>
      <c r="E19" s="192" t="s">
        <v>48</v>
      </c>
      <c r="F19" s="399" t="s">
        <v>246</v>
      </c>
      <c r="G19" s="208" t="s">
        <v>117</v>
      </c>
      <c r="H19" s="33" t="s">
        <v>108</v>
      </c>
      <c r="I19" s="147"/>
      <c r="J19" s="83"/>
    </row>
    <row r="20" spans="2:10" ht="27" thickBot="1" x14ac:dyDescent="0.3">
      <c r="B20" s="700"/>
      <c r="C20" s="190" t="s">
        <v>203</v>
      </c>
      <c r="D20" s="58">
        <v>6</v>
      </c>
      <c r="E20" s="192" t="s">
        <v>71</v>
      </c>
      <c r="F20" s="399" t="s">
        <v>49</v>
      </c>
      <c r="G20" s="208" t="s">
        <v>97</v>
      </c>
      <c r="H20" s="33" t="s">
        <v>110</v>
      </c>
      <c r="I20" s="147"/>
      <c r="J20" s="83"/>
    </row>
    <row r="21" spans="2:10" ht="27" thickBot="1" x14ac:dyDescent="0.3">
      <c r="B21" s="700"/>
      <c r="C21" s="190" t="s">
        <v>204</v>
      </c>
      <c r="D21" s="209">
        <v>4</v>
      </c>
      <c r="E21" s="192" t="s">
        <v>50</v>
      </c>
      <c r="F21" s="403" t="s">
        <v>250</v>
      </c>
      <c r="G21" s="208" t="s">
        <v>103</v>
      </c>
      <c r="H21" s="260" t="s">
        <v>251</v>
      </c>
      <c r="I21" s="147"/>
      <c r="J21" s="8"/>
    </row>
    <row r="22" spans="2:10" ht="16.2" thickBot="1" x14ac:dyDescent="0.3">
      <c r="B22" s="700"/>
      <c r="C22" s="190" t="s">
        <v>205</v>
      </c>
      <c r="D22" s="209">
        <v>2</v>
      </c>
      <c r="E22" s="192" t="s">
        <v>51</v>
      </c>
      <c r="F22" s="399" t="s">
        <v>52</v>
      </c>
      <c r="G22" s="210" t="s">
        <v>97</v>
      </c>
      <c r="H22" s="211" t="s">
        <v>53</v>
      </c>
      <c r="I22" s="147"/>
      <c r="J22" s="8"/>
    </row>
    <row r="23" spans="2:10" ht="16.2" thickBot="1" x14ac:dyDescent="0.3">
      <c r="B23" s="700"/>
      <c r="C23" s="190" t="s">
        <v>206</v>
      </c>
      <c r="D23" s="58">
        <v>2</v>
      </c>
      <c r="E23" s="192" t="s">
        <v>54</v>
      </c>
      <c r="F23" s="399" t="s">
        <v>55</v>
      </c>
      <c r="G23" s="208" t="s">
        <v>103</v>
      </c>
      <c r="H23" s="212" t="s">
        <v>111</v>
      </c>
      <c r="I23" s="147"/>
      <c r="J23" s="8"/>
    </row>
    <row r="24" spans="2:10" ht="18.75" customHeight="1" thickBot="1" x14ac:dyDescent="0.3">
      <c r="B24" s="700"/>
      <c r="C24" s="190" t="s">
        <v>207</v>
      </c>
      <c r="D24" s="58">
        <v>2</v>
      </c>
      <c r="E24" s="192" t="s">
        <v>56</v>
      </c>
      <c r="F24" s="399" t="s">
        <v>61</v>
      </c>
      <c r="G24" s="208" t="s">
        <v>103</v>
      </c>
      <c r="H24" s="213" t="s">
        <v>415</v>
      </c>
      <c r="I24" s="147"/>
      <c r="J24" s="8"/>
    </row>
    <row r="25" spans="2:10" ht="27" thickBot="1" x14ac:dyDescent="0.3">
      <c r="B25" s="700"/>
      <c r="C25" s="190" t="s">
        <v>208</v>
      </c>
      <c r="D25" s="58">
        <v>2</v>
      </c>
      <c r="E25" s="192" t="s">
        <v>57</v>
      </c>
      <c r="F25" s="403" t="s">
        <v>60</v>
      </c>
      <c r="G25" s="208" t="s">
        <v>103</v>
      </c>
      <c r="H25" s="213" t="s">
        <v>112</v>
      </c>
      <c r="I25" s="147"/>
      <c r="J25" s="8"/>
    </row>
    <row r="26" spans="2:10" ht="16.2" thickBot="1" x14ac:dyDescent="0.3">
      <c r="B26" s="700"/>
      <c r="C26" s="190" t="s">
        <v>209</v>
      </c>
      <c r="D26" s="58">
        <v>2</v>
      </c>
      <c r="E26" s="192" t="s">
        <v>58</v>
      </c>
      <c r="F26" s="403" t="s">
        <v>59</v>
      </c>
      <c r="G26" s="208" t="s">
        <v>103</v>
      </c>
      <c r="H26" s="213" t="s">
        <v>113</v>
      </c>
      <c r="I26" s="147"/>
      <c r="J26" s="8"/>
    </row>
    <row r="27" spans="2:10" ht="40.200000000000003" thickBot="1" x14ac:dyDescent="0.3">
      <c r="B27" s="700"/>
      <c r="C27" s="190" t="s">
        <v>210</v>
      </c>
      <c r="D27" s="58">
        <v>2</v>
      </c>
      <c r="E27" s="192" t="s">
        <v>78</v>
      </c>
      <c r="F27" s="403" t="s">
        <v>79</v>
      </c>
      <c r="G27" s="208" t="s">
        <v>103</v>
      </c>
      <c r="H27" s="213" t="s">
        <v>114</v>
      </c>
      <c r="I27" s="147"/>
      <c r="J27" s="8"/>
    </row>
    <row r="28" spans="2:10" ht="26.25" customHeight="1" thickBot="1" x14ac:dyDescent="0.3">
      <c r="B28" s="700"/>
      <c r="C28" s="214" t="s">
        <v>211</v>
      </c>
      <c r="D28" s="215">
        <v>2</v>
      </c>
      <c r="E28" s="216" t="s">
        <v>66</v>
      </c>
      <c r="F28" s="404" t="s">
        <v>67</v>
      </c>
      <c r="G28" s="31" t="s">
        <v>103</v>
      </c>
      <c r="H28" s="32" t="s">
        <v>115</v>
      </c>
      <c r="I28" s="710" t="s">
        <v>121</v>
      </c>
      <c r="J28" s="8"/>
    </row>
    <row r="29" spans="2:10" ht="16.2" thickBot="1" x14ac:dyDescent="0.3">
      <c r="B29" s="700"/>
      <c r="C29" s="214" t="s">
        <v>212</v>
      </c>
      <c r="D29" s="217">
        <v>4</v>
      </c>
      <c r="E29" s="216" t="s">
        <v>80</v>
      </c>
      <c r="F29" s="404" t="s">
        <v>7</v>
      </c>
      <c r="G29" s="31" t="s">
        <v>97</v>
      </c>
      <c r="H29" s="32" t="s">
        <v>116</v>
      </c>
      <c r="I29" s="711"/>
      <c r="J29" s="8"/>
    </row>
    <row r="30" spans="2:10" ht="16.2" thickBot="1" x14ac:dyDescent="0.3">
      <c r="B30" s="701"/>
      <c r="C30" s="218" t="s">
        <v>213</v>
      </c>
      <c r="D30" s="219">
        <v>10</v>
      </c>
      <c r="E30" s="220"/>
      <c r="F30" s="405"/>
      <c r="G30" s="221"/>
      <c r="H30" s="222"/>
      <c r="I30" s="712"/>
      <c r="J30" s="8"/>
    </row>
    <row r="31" spans="2:10" ht="16.5" customHeight="1" thickBot="1" x14ac:dyDescent="0.3">
      <c r="B31" s="702" t="s">
        <v>122</v>
      </c>
      <c r="C31" s="293"/>
      <c r="D31" s="223"/>
      <c r="E31" s="303" t="s">
        <v>289</v>
      </c>
      <c r="F31" s="294"/>
      <c r="G31" s="295"/>
      <c r="H31" s="296"/>
    </row>
    <row r="32" spans="2:10" s="83" customFormat="1" ht="16.5" customHeight="1" thickBot="1" x14ac:dyDescent="0.3">
      <c r="B32" s="703"/>
      <c r="C32" s="301"/>
      <c r="D32" s="297"/>
      <c r="E32" s="303" t="s">
        <v>290</v>
      </c>
      <c r="F32" s="302"/>
      <c r="G32" s="295"/>
      <c r="H32" s="296"/>
    </row>
    <row r="33" spans="2:8" s="83" customFormat="1" ht="13.8" thickBot="1" x14ac:dyDescent="0.3">
      <c r="B33" s="703"/>
      <c r="C33" s="406">
        <v>161</v>
      </c>
      <c r="D33" s="407"/>
      <c r="E33" s="408"/>
      <c r="F33" s="409"/>
      <c r="G33" s="410"/>
      <c r="H33" s="411"/>
    </row>
    <row r="34" spans="2:8" s="83" customFormat="1" ht="13.8" thickBot="1" x14ac:dyDescent="0.3">
      <c r="B34" s="703"/>
      <c r="C34" s="406"/>
      <c r="D34" s="412"/>
      <c r="E34" s="408"/>
      <c r="F34" s="409"/>
      <c r="G34" s="410"/>
      <c r="H34" s="411"/>
    </row>
    <row r="35" spans="2:8" s="83" customFormat="1" ht="13.8" thickBot="1" x14ac:dyDescent="0.3">
      <c r="B35" s="703"/>
      <c r="C35" s="406"/>
      <c r="D35" s="412"/>
      <c r="E35" s="408"/>
      <c r="F35" s="409"/>
      <c r="G35" s="410"/>
      <c r="H35" s="411"/>
    </row>
    <row r="36" spans="2:8" s="83" customFormat="1" ht="13.8" thickBot="1" x14ac:dyDescent="0.3">
      <c r="B36" s="703"/>
      <c r="C36" s="406"/>
      <c r="D36" s="412"/>
      <c r="E36" s="408"/>
      <c r="F36" s="409"/>
      <c r="G36" s="410"/>
      <c r="H36" s="411"/>
    </row>
    <row r="37" spans="2:8" s="83" customFormat="1" ht="13.8" thickBot="1" x14ac:dyDescent="0.3">
      <c r="B37" s="703"/>
      <c r="C37" s="413"/>
      <c r="D37" s="414"/>
      <c r="E37" s="415"/>
      <c r="F37" s="416"/>
      <c r="G37" s="416"/>
      <c r="H37" s="417"/>
    </row>
    <row r="38" spans="2:8" ht="13.8" thickBot="1" x14ac:dyDescent="0.3">
      <c r="B38" s="704"/>
      <c r="C38" s="224" t="s">
        <v>64</v>
      </c>
      <c r="D38" s="225"/>
      <c r="E38" s="226"/>
      <c r="F38" s="227"/>
      <c r="G38" s="228"/>
      <c r="H38" s="225"/>
    </row>
    <row r="39" spans="2:8" x14ac:dyDescent="0.25">
      <c r="B39" s="88"/>
      <c r="C39" s="88"/>
      <c r="D39" s="88"/>
      <c r="E39" s="88"/>
      <c r="F39" s="88"/>
      <c r="G39" s="88"/>
      <c r="H39" s="88"/>
    </row>
  </sheetData>
  <customSheetViews>
    <customSheetView guid="{2E70E708-B73C-4323-9253-4875EF82DB2B}" scale="85" showPageBreaks="1" topLeftCell="A48">
      <selection activeCell="J60" sqref="J60"/>
    </customSheetView>
  </customSheetViews>
  <mergeCells count="7">
    <mergeCell ref="B31:B38"/>
    <mergeCell ref="I11:I13"/>
    <mergeCell ref="J11:J14"/>
    <mergeCell ref="I28:I30"/>
    <mergeCell ref="B5:B10"/>
    <mergeCell ref="B11:B15"/>
    <mergeCell ref="B16:B30"/>
  </mergeCells>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B1:L98"/>
  <sheetViews>
    <sheetView showGridLines="0" topLeftCell="A5" zoomScale="80" zoomScaleNormal="80" zoomScaleSheetLayoutView="80" workbookViewId="0">
      <selection activeCell="K23" sqref="K23"/>
    </sheetView>
  </sheetViews>
  <sheetFormatPr baseColWidth="10" defaultRowHeight="13.2" x14ac:dyDescent="0.25"/>
  <cols>
    <col min="1" max="2" width="5.6640625" customWidth="1"/>
    <col min="3" max="3" width="13.33203125" customWidth="1"/>
    <col min="4" max="4" width="10.109375" customWidth="1"/>
    <col min="5" max="5" width="16.6640625" customWidth="1"/>
    <col min="6" max="6" width="27.33203125" bestFit="1" customWidth="1"/>
    <col min="7" max="7" width="15" customWidth="1"/>
    <col min="8" max="8" width="56" customWidth="1"/>
    <col min="9" max="9" width="15.109375" style="4" customWidth="1"/>
  </cols>
  <sheetData>
    <row r="1" spans="2:12" ht="15" customHeight="1" x14ac:dyDescent="0.25"/>
    <row r="2" spans="2:12" ht="21" x14ac:dyDescent="0.4">
      <c r="C2" s="95" t="s">
        <v>229</v>
      </c>
      <c r="D2" s="15"/>
      <c r="E2" s="15"/>
      <c r="F2" s="15"/>
      <c r="G2" s="15"/>
      <c r="H2" s="15"/>
    </row>
    <row r="3" spans="2:12" s="83" customFormat="1" ht="15" customHeight="1" thickBot="1" x14ac:dyDescent="0.45">
      <c r="B3" s="95"/>
      <c r="C3" s="96"/>
      <c r="D3" s="96"/>
      <c r="E3" s="96"/>
      <c r="F3" s="96"/>
      <c r="G3" s="96"/>
      <c r="H3" s="96"/>
      <c r="I3" s="89"/>
    </row>
    <row r="4" spans="2:12" ht="24.75" customHeight="1" thickBot="1" x14ac:dyDescent="0.3">
      <c r="B4" s="88"/>
      <c r="C4" s="24" t="s">
        <v>83</v>
      </c>
      <c r="D4" s="25" t="s">
        <v>84</v>
      </c>
      <c r="E4" s="26" t="s">
        <v>85</v>
      </c>
      <c r="F4" s="25" t="s">
        <v>86</v>
      </c>
      <c r="G4" s="25" t="s">
        <v>14</v>
      </c>
      <c r="H4" s="25" t="s">
        <v>87</v>
      </c>
    </row>
    <row r="5" spans="2:12" ht="40.200000000000003" thickBot="1" x14ac:dyDescent="0.3">
      <c r="B5" s="693" t="s">
        <v>62</v>
      </c>
      <c r="C5" s="86" t="s">
        <v>2</v>
      </c>
      <c r="D5" s="36">
        <v>8</v>
      </c>
      <c r="E5" s="178" t="s">
        <v>374</v>
      </c>
      <c r="F5" s="387" t="str">
        <f>Filled_by_requestor!C22</f>
        <v>IPSL0110</v>
      </c>
      <c r="G5" s="175" t="s">
        <v>96</v>
      </c>
      <c r="H5" s="38" t="s">
        <v>105</v>
      </c>
      <c r="I5" s="6"/>
    </row>
    <row r="6" spans="2:12" ht="53.4" thickBot="1" x14ac:dyDescent="0.3">
      <c r="B6" s="694"/>
      <c r="C6" s="176" t="s">
        <v>3</v>
      </c>
      <c r="D6" s="177">
        <v>8</v>
      </c>
      <c r="E6" s="178" t="s">
        <v>375</v>
      </c>
      <c r="F6" s="387" t="str">
        <f>Filled_by_requestor!H13</f>
        <v>TMOAKZ01</v>
      </c>
      <c r="G6" s="175" t="s">
        <v>96</v>
      </c>
      <c r="H6" s="179" t="s">
        <v>106</v>
      </c>
    </row>
    <row r="7" spans="2:12" ht="53.4" thickBot="1" x14ac:dyDescent="0.3">
      <c r="B7" s="694"/>
      <c r="C7" s="176" t="s">
        <v>4</v>
      </c>
      <c r="D7" s="177">
        <v>8</v>
      </c>
      <c r="E7" s="178" t="s">
        <v>10</v>
      </c>
      <c r="F7" s="401" t="s">
        <v>165</v>
      </c>
      <c r="G7" s="175" t="s">
        <v>96</v>
      </c>
      <c r="H7" s="93" t="s">
        <v>221</v>
      </c>
      <c r="I7" s="29"/>
    </row>
    <row r="8" spans="2:12" ht="27" thickBot="1" x14ac:dyDescent="0.3">
      <c r="B8" s="694"/>
      <c r="C8" s="176" t="s">
        <v>5</v>
      </c>
      <c r="D8" s="177">
        <v>4</v>
      </c>
      <c r="E8" s="178" t="s">
        <v>16</v>
      </c>
      <c r="F8" s="394" t="s">
        <v>27</v>
      </c>
      <c r="G8" s="175" t="s">
        <v>96</v>
      </c>
      <c r="H8" s="93" t="s">
        <v>91</v>
      </c>
    </row>
    <row r="9" spans="2:12" ht="16.2" thickBot="1" x14ac:dyDescent="0.3">
      <c r="B9" s="694"/>
      <c r="C9" s="92" t="s">
        <v>6</v>
      </c>
      <c r="D9" s="43">
        <v>4</v>
      </c>
      <c r="E9" s="158" t="s">
        <v>17</v>
      </c>
      <c r="F9" s="402" t="s">
        <v>7</v>
      </c>
      <c r="G9" s="180" t="s">
        <v>97</v>
      </c>
      <c r="H9" s="93" t="s">
        <v>92</v>
      </c>
    </row>
    <row r="10" spans="2:12" ht="16.2" thickBot="1" x14ac:dyDescent="0.3">
      <c r="B10" s="695"/>
      <c r="C10" s="97" t="s">
        <v>22</v>
      </c>
      <c r="D10" s="45">
        <v>14</v>
      </c>
      <c r="E10" s="159" t="s">
        <v>11</v>
      </c>
      <c r="F10" s="395" t="s">
        <v>23</v>
      </c>
      <c r="G10" s="182" t="s">
        <v>97</v>
      </c>
      <c r="H10" s="160" t="s">
        <v>93</v>
      </c>
    </row>
    <row r="11" spans="2:12" ht="16.8" thickBot="1" x14ac:dyDescent="0.3">
      <c r="B11" s="696" t="s">
        <v>119</v>
      </c>
      <c r="C11" s="98" t="s">
        <v>35</v>
      </c>
      <c r="D11" s="47">
        <v>2</v>
      </c>
      <c r="E11" s="161" t="s">
        <v>28</v>
      </c>
      <c r="F11" s="388">
        <f>Filled_by_requestor!G22</f>
        <v>11</v>
      </c>
      <c r="G11" s="204" t="s">
        <v>97</v>
      </c>
      <c r="H11" s="162" t="s">
        <v>88</v>
      </c>
      <c r="I11" s="705" t="s">
        <v>149</v>
      </c>
      <c r="J11" s="707" t="s">
        <v>151</v>
      </c>
    </row>
    <row r="12" spans="2:12" ht="27" thickBot="1" x14ac:dyDescent="0.3">
      <c r="B12" s="697"/>
      <c r="C12" s="99" t="s">
        <v>36</v>
      </c>
      <c r="D12" s="49">
        <v>8</v>
      </c>
      <c r="E12" s="163" t="s">
        <v>29</v>
      </c>
      <c r="F12" s="389" t="str">
        <f>F6</f>
        <v>TMOAKZ01</v>
      </c>
      <c r="G12" s="205" t="s">
        <v>103</v>
      </c>
      <c r="H12" s="164" t="s">
        <v>30</v>
      </c>
      <c r="I12" s="706"/>
      <c r="J12" s="708"/>
    </row>
    <row r="13" spans="2:12" ht="16.2" thickBot="1" x14ac:dyDescent="0.3">
      <c r="B13" s="697"/>
      <c r="C13" s="99" t="s">
        <v>24</v>
      </c>
      <c r="D13" s="49">
        <v>8</v>
      </c>
      <c r="E13" s="163" t="s">
        <v>31</v>
      </c>
      <c r="F13" s="396" t="s">
        <v>165</v>
      </c>
      <c r="G13" s="205" t="s">
        <v>103</v>
      </c>
      <c r="H13" s="164" t="s">
        <v>107</v>
      </c>
      <c r="I13" s="706"/>
      <c r="J13" s="708"/>
    </row>
    <row r="14" spans="2:12" ht="27" thickBot="1" x14ac:dyDescent="0.3">
      <c r="B14" s="697"/>
      <c r="C14" s="100" t="s">
        <v>44</v>
      </c>
      <c r="D14" s="51">
        <v>18</v>
      </c>
      <c r="E14" s="165" t="s">
        <v>32</v>
      </c>
      <c r="F14" s="397" t="s">
        <v>63</v>
      </c>
      <c r="G14" s="206" t="s">
        <v>103</v>
      </c>
      <c r="H14" s="103" t="s">
        <v>238</v>
      </c>
      <c r="I14" s="53" t="s">
        <v>150</v>
      </c>
      <c r="J14" s="709"/>
    </row>
    <row r="15" spans="2:12" ht="16.2" thickBot="1" x14ac:dyDescent="0.3">
      <c r="B15" s="698"/>
      <c r="C15" s="101" t="s">
        <v>45</v>
      </c>
      <c r="D15" s="54">
        <v>4</v>
      </c>
      <c r="E15" s="166" t="s">
        <v>33</v>
      </c>
      <c r="F15" s="398" t="s">
        <v>37</v>
      </c>
      <c r="G15" s="207" t="s">
        <v>103</v>
      </c>
      <c r="H15" s="56" t="s">
        <v>65</v>
      </c>
      <c r="I15" s="16"/>
      <c r="J15" s="20"/>
    </row>
    <row r="16" spans="2:12" ht="27" thickBot="1" x14ac:dyDescent="0.3">
      <c r="B16" s="699" t="s">
        <v>134</v>
      </c>
      <c r="C16" s="190" t="s">
        <v>195</v>
      </c>
      <c r="D16" s="58">
        <v>8</v>
      </c>
      <c r="E16" s="167" t="s">
        <v>70</v>
      </c>
      <c r="F16" s="390" t="str">
        <f>Filled_by_requestor!N63</f>
        <v xml:space="preserve">Z2200   </v>
      </c>
      <c r="G16" s="208" t="s">
        <v>103</v>
      </c>
      <c r="H16" s="33" t="s">
        <v>247</v>
      </c>
      <c r="I16" s="16"/>
      <c r="J16" s="20"/>
      <c r="L16" s="3"/>
    </row>
    <row r="17" spans="2:10" ht="16.2" thickBot="1" x14ac:dyDescent="0.3">
      <c r="B17" s="700"/>
      <c r="C17" s="190" t="s">
        <v>200</v>
      </c>
      <c r="D17" s="58">
        <v>8</v>
      </c>
      <c r="E17" s="192" t="s">
        <v>46</v>
      </c>
      <c r="F17" s="399" t="s">
        <v>245</v>
      </c>
      <c r="G17" s="208" t="s">
        <v>117</v>
      </c>
      <c r="H17" s="33" t="s">
        <v>108</v>
      </c>
      <c r="I17" s="7"/>
    </row>
    <row r="18" spans="2:10" ht="16.2" thickBot="1" x14ac:dyDescent="0.3">
      <c r="B18" s="700"/>
      <c r="C18" s="190" t="s">
        <v>201</v>
      </c>
      <c r="D18" s="58">
        <v>12</v>
      </c>
      <c r="E18" s="192" t="s">
        <v>47</v>
      </c>
      <c r="F18" s="399" t="s">
        <v>72</v>
      </c>
      <c r="G18" s="208" t="s">
        <v>117</v>
      </c>
      <c r="H18" s="33" t="s">
        <v>109</v>
      </c>
      <c r="I18" s="16"/>
      <c r="J18" s="20"/>
    </row>
    <row r="19" spans="2:10" ht="16.2" thickBot="1" x14ac:dyDescent="0.3">
      <c r="B19" s="700"/>
      <c r="C19" s="190" t="s">
        <v>202</v>
      </c>
      <c r="D19" s="58">
        <v>8</v>
      </c>
      <c r="E19" s="192" t="s">
        <v>48</v>
      </c>
      <c r="F19" s="399" t="s">
        <v>246</v>
      </c>
      <c r="G19" s="208" t="s">
        <v>117</v>
      </c>
      <c r="H19" s="33" t="s">
        <v>108</v>
      </c>
    </row>
    <row r="20" spans="2:10" ht="27" thickBot="1" x14ac:dyDescent="0.3">
      <c r="B20" s="700"/>
      <c r="C20" s="190" t="s">
        <v>203</v>
      </c>
      <c r="D20" s="58">
        <v>6</v>
      </c>
      <c r="E20" s="192" t="s">
        <v>71</v>
      </c>
      <c r="F20" s="399" t="s">
        <v>49</v>
      </c>
      <c r="G20" s="208" t="s">
        <v>97</v>
      </c>
      <c r="H20" s="33" t="s">
        <v>110</v>
      </c>
    </row>
    <row r="21" spans="2:10" ht="27" thickBot="1" x14ac:dyDescent="0.3">
      <c r="B21" s="700"/>
      <c r="C21" s="190" t="s">
        <v>204</v>
      </c>
      <c r="D21" s="209">
        <v>4</v>
      </c>
      <c r="E21" s="192" t="s">
        <v>50</v>
      </c>
      <c r="F21" s="403" t="s">
        <v>250</v>
      </c>
      <c r="G21" s="208" t="s">
        <v>103</v>
      </c>
      <c r="H21" s="260" t="s">
        <v>251</v>
      </c>
      <c r="J21" s="8"/>
    </row>
    <row r="22" spans="2:10" ht="16.2" thickBot="1" x14ac:dyDescent="0.3">
      <c r="B22" s="700"/>
      <c r="C22" s="190" t="s">
        <v>205</v>
      </c>
      <c r="D22" s="209">
        <v>2</v>
      </c>
      <c r="E22" s="192" t="s">
        <v>51</v>
      </c>
      <c r="F22" s="399" t="s">
        <v>52</v>
      </c>
      <c r="G22" s="210" t="s">
        <v>97</v>
      </c>
      <c r="H22" s="211" t="s">
        <v>53</v>
      </c>
      <c r="J22" s="8"/>
    </row>
    <row r="23" spans="2:10" ht="16.2" thickBot="1" x14ac:dyDescent="0.3">
      <c r="B23" s="700"/>
      <c r="C23" s="190" t="s">
        <v>206</v>
      </c>
      <c r="D23" s="58">
        <v>2</v>
      </c>
      <c r="E23" s="192" t="s">
        <v>54</v>
      </c>
      <c r="F23" s="399" t="s">
        <v>55</v>
      </c>
      <c r="G23" s="208" t="s">
        <v>103</v>
      </c>
      <c r="H23" s="212" t="s">
        <v>111</v>
      </c>
      <c r="J23" s="8"/>
    </row>
    <row r="24" spans="2:10" ht="16.2" thickBot="1" x14ac:dyDescent="0.3">
      <c r="B24" s="700"/>
      <c r="C24" s="190" t="s">
        <v>207</v>
      </c>
      <c r="D24" s="58">
        <v>2</v>
      </c>
      <c r="E24" s="192" t="s">
        <v>56</v>
      </c>
      <c r="F24" s="399" t="s">
        <v>61</v>
      </c>
      <c r="G24" s="208" t="s">
        <v>103</v>
      </c>
      <c r="H24" s="213" t="s">
        <v>415</v>
      </c>
      <c r="J24" s="8"/>
    </row>
    <row r="25" spans="2:10" ht="27" thickBot="1" x14ac:dyDescent="0.3">
      <c r="B25" s="700"/>
      <c r="C25" s="190" t="s">
        <v>208</v>
      </c>
      <c r="D25" s="58">
        <v>2</v>
      </c>
      <c r="E25" s="192" t="s">
        <v>57</v>
      </c>
      <c r="F25" s="403" t="s">
        <v>60</v>
      </c>
      <c r="G25" s="208" t="s">
        <v>103</v>
      </c>
      <c r="H25" s="213" t="s">
        <v>112</v>
      </c>
      <c r="J25" s="8"/>
    </row>
    <row r="26" spans="2:10" ht="16.2" thickBot="1" x14ac:dyDescent="0.3">
      <c r="B26" s="700"/>
      <c r="C26" s="190" t="s">
        <v>209</v>
      </c>
      <c r="D26" s="58">
        <v>2</v>
      </c>
      <c r="E26" s="192" t="s">
        <v>58</v>
      </c>
      <c r="F26" s="403" t="s">
        <v>59</v>
      </c>
      <c r="G26" s="208" t="s">
        <v>103</v>
      </c>
      <c r="H26" s="213" t="s">
        <v>113</v>
      </c>
      <c r="J26" s="8"/>
    </row>
    <row r="27" spans="2:10" ht="40.200000000000003" thickBot="1" x14ac:dyDescent="0.3">
      <c r="B27" s="700"/>
      <c r="C27" s="190" t="s">
        <v>210</v>
      </c>
      <c r="D27" s="58">
        <v>2</v>
      </c>
      <c r="E27" s="192" t="s">
        <v>78</v>
      </c>
      <c r="F27" s="403" t="s">
        <v>79</v>
      </c>
      <c r="G27" s="208" t="s">
        <v>103</v>
      </c>
      <c r="H27" s="213" t="s">
        <v>114</v>
      </c>
      <c r="J27" s="8"/>
    </row>
    <row r="28" spans="2:10" ht="27" thickBot="1" x14ac:dyDescent="0.3">
      <c r="B28" s="700"/>
      <c r="C28" s="214" t="s">
        <v>211</v>
      </c>
      <c r="D28" s="215">
        <v>2</v>
      </c>
      <c r="E28" s="216" t="s">
        <v>66</v>
      </c>
      <c r="F28" s="404" t="s">
        <v>67</v>
      </c>
      <c r="G28" s="31" t="s">
        <v>103</v>
      </c>
      <c r="H28" s="32" t="s">
        <v>115</v>
      </c>
      <c r="I28" s="710" t="s">
        <v>121</v>
      </c>
      <c r="J28" s="8"/>
    </row>
    <row r="29" spans="2:10" ht="16.2" thickBot="1" x14ac:dyDescent="0.3">
      <c r="B29" s="700"/>
      <c r="C29" s="214" t="s">
        <v>212</v>
      </c>
      <c r="D29" s="217">
        <v>4</v>
      </c>
      <c r="E29" s="216" t="s">
        <v>80</v>
      </c>
      <c r="F29" s="404" t="s">
        <v>7</v>
      </c>
      <c r="G29" s="31" t="s">
        <v>97</v>
      </c>
      <c r="H29" s="32" t="s">
        <v>116</v>
      </c>
      <c r="I29" s="711"/>
      <c r="J29" s="8"/>
    </row>
    <row r="30" spans="2:10" ht="16.2" thickBot="1" x14ac:dyDescent="0.3">
      <c r="B30" s="701"/>
      <c r="C30" s="218" t="s">
        <v>213</v>
      </c>
      <c r="D30" s="219">
        <v>10</v>
      </c>
      <c r="E30" s="220"/>
      <c r="F30" s="405"/>
      <c r="G30" s="221"/>
      <c r="H30" s="222"/>
      <c r="I30" s="712"/>
      <c r="J30" s="8"/>
    </row>
    <row r="31" spans="2:10" s="83" customFormat="1" ht="16.5" customHeight="1" thickBot="1" x14ac:dyDescent="0.3">
      <c r="B31" s="702"/>
      <c r="C31" s="293"/>
      <c r="D31" s="223"/>
      <c r="E31" s="303" t="s">
        <v>289</v>
      </c>
      <c r="F31" s="294"/>
      <c r="G31" s="295"/>
      <c r="H31" s="296"/>
    </row>
    <row r="32" spans="2:10" s="83" customFormat="1" ht="16.5" customHeight="1" thickBot="1" x14ac:dyDescent="0.3">
      <c r="B32" s="703"/>
      <c r="C32" s="301"/>
      <c r="D32" s="297"/>
      <c r="E32" s="303" t="s">
        <v>290</v>
      </c>
      <c r="F32" s="302"/>
      <c r="G32" s="295"/>
      <c r="H32" s="296"/>
    </row>
    <row r="33" spans="2:12" s="83" customFormat="1" ht="13.8" thickBot="1" x14ac:dyDescent="0.3">
      <c r="B33" s="703"/>
      <c r="C33" s="406">
        <v>161</v>
      </c>
      <c r="D33" s="407"/>
      <c r="E33" s="408"/>
      <c r="F33" s="409"/>
      <c r="G33" s="410"/>
      <c r="H33" s="411"/>
    </row>
    <row r="34" spans="2:12" s="83" customFormat="1" ht="13.8" thickBot="1" x14ac:dyDescent="0.3">
      <c r="B34" s="703"/>
      <c r="C34" s="406"/>
      <c r="D34" s="412"/>
      <c r="E34" s="408"/>
      <c r="F34" s="409"/>
      <c r="G34" s="410"/>
      <c r="H34" s="411"/>
    </row>
    <row r="35" spans="2:12" s="83" customFormat="1" ht="13.8" thickBot="1" x14ac:dyDescent="0.3">
      <c r="B35" s="703"/>
      <c r="C35" s="406"/>
      <c r="D35" s="412"/>
      <c r="E35" s="408"/>
      <c r="F35" s="409"/>
      <c r="G35" s="410"/>
      <c r="H35" s="411"/>
    </row>
    <row r="36" spans="2:12" s="83" customFormat="1" ht="13.8" thickBot="1" x14ac:dyDescent="0.3">
      <c r="B36" s="703"/>
      <c r="C36" s="406"/>
      <c r="D36" s="412"/>
      <c r="E36" s="408"/>
      <c r="F36" s="409"/>
      <c r="G36" s="410"/>
      <c r="H36" s="411"/>
    </row>
    <row r="37" spans="2:12" s="83" customFormat="1" ht="13.8" thickBot="1" x14ac:dyDescent="0.3">
      <c r="B37" s="703"/>
      <c r="C37" s="413"/>
      <c r="D37" s="414"/>
      <c r="E37" s="415"/>
      <c r="F37" s="416"/>
      <c r="G37" s="416"/>
      <c r="H37" s="417"/>
    </row>
    <row r="38" spans="2:12" s="83" customFormat="1" ht="13.8" thickBot="1" x14ac:dyDescent="0.3">
      <c r="B38" s="704"/>
      <c r="C38" s="224" t="s">
        <v>64</v>
      </c>
      <c r="D38" s="225"/>
      <c r="E38" s="226"/>
      <c r="F38" s="227"/>
      <c r="G38" s="228"/>
      <c r="H38" s="225"/>
    </row>
    <row r="39" spans="2:12" s="83" customFormat="1" x14ac:dyDescent="0.25">
      <c r="B39" s="77"/>
      <c r="C39" s="261"/>
      <c r="D39" s="262"/>
      <c r="E39" s="263"/>
      <c r="F39" s="261"/>
      <c r="G39" s="264"/>
      <c r="H39" s="262"/>
      <c r="I39" s="147"/>
    </row>
    <row r="40" spans="2:12" s="83" customFormat="1" x14ac:dyDescent="0.25">
      <c r="B40" s="77"/>
      <c r="C40" s="261"/>
      <c r="D40" s="262"/>
      <c r="E40" s="263"/>
      <c r="F40" s="261"/>
      <c r="G40" s="264"/>
      <c r="H40" s="262"/>
      <c r="I40" s="147"/>
    </row>
    <row r="41" spans="2:12" s="83" customFormat="1" ht="18.75" customHeight="1" x14ac:dyDescent="0.3">
      <c r="B41" s="150" t="s">
        <v>104</v>
      </c>
      <c r="C41" s="150"/>
      <c r="D41" s="150"/>
      <c r="E41" s="150"/>
      <c r="F41" s="150"/>
      <c r="G41" s="88"/>
      <c r="H41" s="88"/>
      <c r="J41"/>
      <c r="K41"/>
      <c r="L41"/>
    </row>
    <row r="42" spans="2:12" s="94" customFormat="1" ht="10.5" customHeight="1" thickBot="1" x14ac:dyDescent="0.3">
      <c r="B42" s="108"/>
      <c r="C42" s="10"/>
      <c r="D42" s="11"/>
      <c r="E42" s="12"/>
      <c r="F42" s="11"/>
      <c r="G42" s="13"/>
      <c r="H42" s="10"/>
      <c r="I42" s="14"/>
    </row>
    <row r="43" spans="2:12" s="94" customFormat="1" ht="25.5" customHeight="1" thickBot="1" x14ac:dyDescent="0.3">
      <c r="B43" s="108"/>
      <c r="C43" s="24" t="s">
        <v>83</v>
      </c>
      <c r="D43" s="25" t="s">
        <v>84</v>
      </c>
      <c r="E43" s="26" t="s">
        <v>85</v>
      </c>
      <c r="F43" s="25" t="s">
        <v>86</v>
      </c>
      <c r="G43" s="25" t="s">
        <v>14</v>
      </c>
      <c r="H43" s="25" t="s">
        <v>87</v>
      </c>
      <c r="I43" s="14"/>
    </row>
    <row r="44" spans="2:12" s="94" customFormat="1" ht="53.4" thickBot="1" x14ac:dyDescent="0.3">
      <c r="B44" s="693" t="s">
        <v>62</v>
      </c>
      <c r="C44" s="86" t="s">
        <v>2</v>
      </c>
      <c r="D44" s="36">
        <v>8</v>
      </c>
      <c r="E44" s="178" t="s">
        <v>374</v>
      </c>
      <c r="F44" s="387" t="str">
        <f>F6</f>
        <v>TMOAKZ01</v>
      </c>
      <c r="G44" s="175" t="s">
        <v>96</v>
      </c>
      <c r="H44" s="30" t="s">
        <v>95</v>
      </c>
      <c r="I44" s="14"/>
    </row>
    <row r="45" spans="2:12" s="94" customFormat="1" ht="40.200000000000003" thickBot="1" x14ac:dyDescent="0.3">
      <c r="B45" s="694"/>
      <c r="C45" s="176" t="s">
        <v>3</v>
      </c>
      <c r="D45" s="177">
        <v>8</v>
      </c>
      <c r="E45" s="178" t="s">
        <v>375</v>
      </c>
      <c r="F45" s="387" t="str">
        <f>F5</f>
        <v>IPSL0110</v>
      </c>
      <c r="G45" s="175" t="s">
        <v>96</v>
      </c>
      <c r="H45" s="179" t="s">
        <v>101</v>
      </c>
      <c r="I45" s="14"/>
    </row>
    <row r="46" spans="2:12" s="9" customFormat="1" ht="27" thickBot="1" x14ac:dyDescent="0.3">
      <c r="B46" s="694"/>
      <c r="C46" s="176" t="s">
        <v>4</v>
      </c>
      <c r="D46" s="177">
        <v>8</v>
      </c>
      <c r="E46" s="178" t="s">
        <v>10</v>
      </c>
      <c r="F46" s="394" t="s">
        <v>73</v>
      </c>
      <c r="G46" s="175" t="s">
        <v>96</v>
      </c>
      <c r="H46" s="93" t="s">
        <v>118</v>
      </c>
      <c r="I46" s="14"/>
    </row>
    <row r="47" spans="2:12" s="9" customFormat="1" ht="26.25" customHeight="1" thickBot="1" x14ac:dyDescent="0.3">
      <c r="B47" s="694"/>
      <c r="C47" s="176" t="s">
        <v>5</v>
      </c>
      <c r="D47" s="177">
        <v>4</v>
      </c>
      <c r="E47" s="178" t="s">
        <v>16</v>
      </c>
      <c r="F47" s="394" t="s">
        <v>27</v>
      </c>
      <c r="G47" s="175" t="s">
        <v>96</v>
      </c>
      <c r="H47" s="93" t="s">
        <v>91</v>
      </c>
      <c r="I47" s="14"/>
    </row>
    <row r="48" spans="2:12" s="9" customFormat="1" ht="26.25" customHeight="1" thickBot="1" x14ac:dyDescent="0.3">
      <c r="B48" s="694"/>
      <c r="C48" s="92" t="s">
        <v>6</v>
      </c>
      <c r="D48" s="177">
        <v>4</v>
      </c>
      <c r="E48" s="178" t="s">
        <v>17</v>
      </c>
      <c r="F48" s="394" t="s">
        <v>7</v>
      </c>
      <c r="G48" s="180" t="s">
        <v>97</v>
      </c>
      <c r="H48" s="93" t="s">
        <v>92</v>
      </c>
      <c r="I48" s="14"/>
    </row>
    <row r="49" spans="2:9" s="9" customFormat="1" ht="26.25" customHeight="1" thickBot="1" x14ac:dyDescent="0.3">
      <c r="B49" s="695"/>
      <c r="C49" s="97" t="s">
        <v>22</v>
      </c>
      <c r="D49" s="45">
        <v>14</v>
      </c>
      <c r="E49" s="159" t="s">
        <v>11</v>
      </c>
      <c r="F49" s="395" t="s">
        <v>23</v>
      </c>
      <c r="G49" s="182" t="s">
        <v>97</v>
      </c>
      <c r="H49" s="160" t="s">
        <v>93</v>
      </c>
      <c r="I49" s="14"/>
    </row>
    <row r="50" spans="2:9" s="9" customFormat="1" ht="26.25" customHeight="1" thickBot="1" x14ac:dyDescent="0.3">
      <c r="B50" s="696" t="s">
        <v>119</v>
      </c>
      <c r="C50" s="98" t="s">
        <v>35</v>
      </c>
      <c r="D50" s="47">
        <v>2</v>
      </c>
      <c r="E50" s="161" t="s">
        <v>28</v>
      </c>
      <c r="F50" s="388">
        <f>F11</f>
        <v>11</v>
      </c>
      <c r="G50" s="204" t="s">
        <v>97</v>
      </c>
      <c r="H50" s="162" t="s">
        <v>88</v>
      </c>
      <c r="I50" s="14"/>
    </row>
    <row r="51" spans="2:9" s="9" customFormat="1" ht="26.25" customHeight="1" thickBot="1" x14ac:dyDescent="0.3">
      <c r="B51" s="697"/>
      <c r="C51" s="99" t="s">
        <v>36</v>
      </c>
      <c r="D51" s="49">
        <v>8</v>
      </c>
      <c r="E51" s="163" t="s">
        <v>29</v>
      </c>
      <c r="F51" s="389" t="str">
        <f>F44</f>
        <v>TMOAKZ01</v>
      </c>
      <c r="G51" s="205" t="s">
        <v>103</v>
      </c>
      <c r="H51" s="164" t="s">
        <v>30</v>
      </c>
      <c r="I51" s="14"/>
    </row>
    <row r="52" spans="2:9" s="9" customFormat="1" ht="26.25" customHeight="1" thickBot="1" x14ac:dyDescent="0.3">
      <c r="B52" s="697"/>
      <c r="C52" s="99" t="s">
        <v>24</v>
      </c>
      <c r="D52" s="49">
        <v>8</v>
      </c>
      <c r="E52" s="163" t="s">
        <v>31</v>
      </c>
      <c r="F52" s="396" t="s">
        <v>165</v>
      </c>
      <c r="G52" s="205" t="s">
        <v>103</v>
      </c>
      <c r="H52" s="164" t="s">
        <v>107</v>
      </c>
      <c r="I52" s="14"/>
    </row>
    <row r="53" spans="2:9" s="9" customFormat="1" ht="40.200000000000003" thickBot="1" x14ac:dyDescent="0.3">
      <c r="B53" s="697"/>
      <c r="C53" s="100" t="s">
        <v>44</v>
      </c>
      <c r="D53" s="51">
        <v>18</v>
      </c>
      <c r="E53" s="165" t="s">
        <v>32</v>
      </c>
      <c r="F53" s="397" t="s">
        <v>63</v>
      </c>
      <c r="G53" s="206" t="s">
        <v>103</v>
      </c>
      <c r="H53" s="103" t="s">
        <v>120</v>
      </c>
      <c r="I53" s="14"/>
    </row>
    <row r="54" spans="2:9" s="9" customFormat="1" ht="26.25" customHeight="1" thickBot="1" x14ac:dyDescent="0.3">
      <c r="B54" s="698"/>
      <c r="C54" s="101" t="s">
        <v>45</v>
      </c>
      <c r="D54" s="54">
        <v>4</v>
      </c>
      <c r="E54" s="166" t="s">
        <v>33</v>
      </c>
      <c r="F54" s="398" t="s">
        <v>34</v>
      </c>
      <c r="G54" s="55" t="s">
        <v>98</v>
      </c>
      <c r="H54" s="80" t="s">
        <v>40</v>
      </c>
      <c r="I54" s="14"/>
    </row>
    <row r="55" spans="2:9" x14ac:dyDescent="0.25">
      <c r="B55" s="88"/>
      <c r="C55" s="88"/>
      <c r="D55" s="88"/>
      <c r="E55" s="88"/>
      <c r="F55" s="88"/>
      <c r="G55" s="88"/>
      <c r="H55" s="88"/>
    </row>
    <row r="56" spans="2:9" x14ac:dyDescent="0.25">
      <c r="B56" s="88"/>
      <c r="C56" s="88"/>
      <c r="D56" s="88"/>
      <c r="E56" s="88"/>
      <c r="F56" s="88"/>
      <c r="G56" s="88"/>
      <c r="H56" s="88"/>
    </row>
    <row r="57" spans="2:9" x14ac:dyDescent="0.25">
      <c r="B57" s="88"/>
      <c r="C57" s="88"/>
      <c r="D57" s="88"/>
      <c r="E57" s="88"/>
      <c r="F57" s="88"/>
      <c r="G57" s="88"/>
      <c r="H57" s="88"/>
    </row>
    <row r="58" spans="2:9" x14ac:dyDescent="0.25">
      <c r="B58" s="88"/>
      <c r="C58" s="88"/>
      <c r="D58" s="88"/>
      <c r="E58" s="88"/>
      <c r="F58" s="88"/>
      <c r="G58" s="88"/>
      <c r="H58" s="88"/>
    </row>
    <row r="59" spans="2:9" x14ac:dyDescent="0.25">
      <c r="B59" s="88"/>
      <c r="C59" s="88"/>
      <c r="D59" s="88"/>
      <c r="E59" s="88"/>
      <c r="F59" s="88"/>
      <c r="G59" s="88"/>
      <c r="H59" s="88"/>
    </row>
    <row r="60" spans="2:9" x14ac:dyDescent="0.25">
      <c r="B60" s="88"/>
      <c r="C60" s="88"/>
      <c r="D60" s="88"/>
      <c r="E60" s="88"/>
      <c r="F60" s="88"/>
      <c r="G60" s="88"/>
      <c r="H60" s="88"/>
    </row>
    <row r="61" spans="2:9" x14ac:dyDescent="0.25">
      <c r="B61" s="88"/>
      <c r="C61" s="88"/>
      <c r="D61" s="88"/>
      <c r="E61" s="88"/>
      <c r="F61" s="88"/>
      <c r="G61" s="88"/>
      <c r="H61" s="88"/>
    </row>
    <row r="62" spans="2:9" x14ac:dyDescent="0.25">
      <c r="B62" s="88"/>
      <c r="C62" s="88"/>
      <c r="D62" s="88"/>
      <c r="E62" s="88"/>
      <c r="F62" s="88"/>
      <c r="G62" s="88"/>
      <c r="H62" s="88"/>
    </row>
    <row r="63" spans="2:9" x14ac:dyDescent="0.25">
      <c r="B63" s="88"/>
      <c r="C63" s="88"/>
      <c r="D63" s="88"/>
      <c r="E63" s="88"/>
      <c r="F63" s="88"/>
      <c r="G63" s="88"/>
      <c r="H63" s="88"/>
    </row>
    <row r="64" spans="2:9" x14ac:dyDescent="0.25">
      <c r="B64" s="88"/>
      <c r="C64" s="88"/>
      <c r="D64" s="88"/>
      <c r="E64" s="88"/>
      <c r="F64" s="88"/>
      <c r="G64" s="88"/>
      <c r="H64" s="88"/>
    </row>
    <row r="65" spans="2:8" x14ac:dyDescent="0.25">
      <c r="B65" s="88"/>
      <c r="C65" s="88"/>
      <c r="D65" s="88"/>
      <c r="E65" s="88"/>
      <c r="F65" s="88"/>
      <c r="G65" s="88"/>
      <c r="H65" s="88"/>
    </row>
    <row r="66" spans="2:8" x14ac:dyDescent="0.25">
      <c r="B66" s="88"/>
      <c r="C66" s="88"/>
      <c r="D66" s="88"/>
      <c r="E66" s="88"/>
      <c r="F66" s="88"/>
      <c r="G66" s="88"/>
      <c r="H66" s="88"/>
    </row>
    <row r="67" spans="2:8" x14ac:dyDescent="0.25">
      <c r="B67" s="88"/>
      <c r="C67" s="88"/>
      <c r="D67" s="88"/>
      <c r="E67" s="88"/>
      <c r="F67" s="88"/>
      <c r="G67" s="88"/>
      <c r="H67" s="88"/>
    </row>
    <row r="68" spans="2:8" x14ac:dyDescent="0.25">
      <c r="B68" s="88"/>
      <c r="C68" s="88"/>
      <c r="D68" s="88"/>
      <c r="E68" s="88"/>
      <c r="F68" s="88"/>
      <c r="G68" s="88"/>
      <c r="H68" s="88"/>
    </row>
    <row r="69" spans="2:8" x14ac:dyDescent="0.25">
      <c r="B69" s="88"/>
      <c r="C69" s="88"/>
      <c r="D69" s="88"/>
      <c r="E69" s="88"/>
      <c r="F69" s="88"/>
      <c r="G69" s="88"/>
      <c r="H69" s="88"/>
    </row>
    <row r="70" spans="2:8" x14ac:dyDescent="0.25">
      <c r="B70" s="88"/>
      <c r="C70" s="88"/>
      <c r="D70" s="88"/>
      <c r="E70" s="88"/>
      <c r="F70" s="88"/>
      <c r="G70" s="88"/>
      <c r="H70" s="88"/>
    </row>
    <row r="71" spans="2:8" x14ac:dyDescent="0.25">
      <c r="B71" s="88"/>
      <c r="C71" s="88"/>
      <c r="D71" s="88"/>
      <c r="E71" s="88"/>
      <c r="F71" s="88"/>
      <c r="G71" s="88"/>
      <c r="H71" s="88"/>
    </row>
    <row r="72" spans="2:8" x14ac:dyDescent="0.25">
      <c r="B72" s="88"/>
      <c r="C72" s="88"/>
      <c r="D72" s="88"/>
      <c r="E72" s="88"/>
      <c r="F72" s="88"/>
      <c r="G72" s="88"/>
      <c r="H72" s="88"/>
    </row>
    <row r="73" spans="2:8" x14ac:dyDescent="0.25">
      <c r="B73" s="88"/>
      <c r="C73" s="88"/>
      <c r="D73" s="88"/>
      <c r="E73" s="88"/>
      <c r="F73" s="88"/>
      <c r="G73" s="88"/>
      <c r="H73" s="88"/>
    </row>
    <row r="74" spans="2:8" x14ac:dyDescent="0.25">
      <c r="B74" s="88"/>
      <c r="C74" s="88"/>
      <c r="D74" s="88"/>
      <c r="E74" s="88"/>
      <c r="F74" s="88"/>
      <c r="G74" s="88"/>
      <c r="H74" s="88"/>
    </row>
    <row r="75" spans="2:8" x14ac:dyDescent="0.25">
      <c r="B75" s="88"/>
      <c r="C75" s="88"/>
      <c r="D75" s="88"/>
      <c r="E75" s="88"/>
      <c r="F75" s="88"/>
      <c r="G75" s="88"/>
      <c r="H75" s="88"/>
    </row>
    <row r="76" spans="2:8" x14ac:dyDescent="0.25">
      <c r="B76" s="88"/>
      <c r="C76" s="88"/>
      <c r="D76" s="88"/>
      <c r="E76" s="88"/>
      <c r="F76" s="88"/>
      <c r="G76" s="88"/>
      <c r="H76" s="88"/>
    </row>
    <row r="77" spans="2:8" x14ac:dyDescent="0.25">
      <c r="B77" s="88"/>
      <c r="C77" s="88"/>
      <c r="D77" s="88"/>
      <c r="E77" s="88"/>
      <c r="F77" s="88"/>
      <c r="G77" s="88"/>
      <c r="H77" s="88"/>
    </row>
    <row r="78" spans="2:8" x14ac:dyDescent="0.25">
      <c r="B78" s="88"/>
      <c r="C78" s="88"/>
      <c r="D78" s="88"/>
      <c r="E78" s="88"/>
      <c r="F78" s="88"/>
      <c r="G78" s="88"/>
      <c r="H78" s="88"/>
    </row>
    <row r="79" spans="2:8" x14ac:dyDescent="0.25">
      <c r="B79" s="88"/>
      <c r="C79" s="88"/>
      <c r="D79" s="88"/>
      <c r="E79" s="88"/>
      <c r="F79" s="88"/>
      <c r="G79" s="88"/>
      <c r="H79" s="88"/>
    </row>
    <row r="80" spans="2:8" x14ac:dyDescent="0.25">
      <c r="B80" s="88"/>
      <c r="C80" s="88"/>
      <c r="D80" s="88"/>
      <c r="E80" s="88"/>
      <c r="F80" s="88"/>
      <c r="G80" s="88"/>
      <c r="H80" s="88"/>
    </row>
    <row r="81" spans="2:8" x14ac:dyDescent="0.25">
      <c r="B81" s="88"/>
      <c r="C81" s="88"/>
      <c r="D81" s="88"/>
      <c r="E81" s="88"/>
      <c r="F81" s="88"/>
      <c r="G81" s="88"/>
      <c r="H81" s="88"/>
    </row>
    <row r="82" spans="2:8" x14ac:dyDescent="0.25">
      <c r="B82" s="88"/>
      <c r="C82" s="88"/>
      <c r="D82" s="88"/>
      <c r="E82" s="88"/>
      <c r="F82" s="88"/>
      <c r="G82" s="88"/>
      <c r="H82" s="88"/>
    </row>
    <row r="83" spans="2:8" x14ac:dyDescent="0.25">
      <c r="B83" s="88"/>
      <c r="C83" s="88"/>
      <c r="D83" s="88"/>
      <c r="E83" s="88"/>
      <c r="F83" s="88"/>
      <c r="G83" s="88"/>
      <c r="H83" s="88"/>
    </row>
    <row r="84" spans="2:8" x14ac:dyDescent="0.25">
      <c r="B84" s="88"/>
      <c r="C84" s="88"/>
      <c r="D84" s="88"/>
      <c r="E84" s="88"/>
      <c r="F84" s="88"/>
      <c r="G84" s="88"/>
      <c r="H84" s="88"/>
    </row>
    <row r="85" spans="2:8" x14ac:dyDescent="0.25">
      <c r="B85" s="88"/>
      <c r="C85" s="88"/>
      <c r="D85" s="88"/>
      <c r="E85" s="88"/>
      <c r="F85" s="88"/>
      <c r="G85" s="88"/>
      <c r="H85" s="88"/>
    </row>
    <row r="86" spans="2:8" x14ac:dyDescent="0.25">
      <c r="B86" s="88"/>
      <c r="C86" s="88"/>
      <c r="D86" s="88"/>
      <c r="E86" s="88"/>
      <c r="F86" s="88"/>
      <c r="G86" s="88"/>
      <c r="H86" s="88"/>
    </row>
    <row r="87" spans="2:8" x14ac:dyDescent="0.25">
      <c r="B87" s="88"/>
      <c r="C87" s="88"/>
      <c r="D87" s="88"/>
      <c r="E87" s="88"/>
      <c r="F87" s="88"/>
      <c r="G87" s="88"/>
      <c r="H87" s="88"/>
    </row>
    <row r="88" spans="2:8" x14ac:dyDescent="0.25">
      <c r="B88" s="88"/>
      <c r="C88" s="88"/>
      <c r="D88" s="88"/>
      <c r="E88" s="88"/>
      <c r="F88" s="88"/>
      <c r="G88" s="88"/>
      <c r="H88" s="88"/>
    </row>
    <row r="89" spans="2:8" x14ac:dyDescent="0.25">
      <c r="B89" s="88"/>
      <c r="C89" s="88"/>
      <c r="D89" s="88"/>
      <c r="E89" s="88"/>
      <c r="F89" s="88"/>
      <c r="G89" s="88"/>
      <c r="H89" s="88"/>
    </row>
    <row r="90" spans="2:8" x14ac:dyDescent="0.25">
      <c r="B90" s="88"/>
      <c r="C90" s="88"/>
      <c r="D90" s="88"/>
      <c r="E90" s="88"/>
      <c r="F90" s="88"/>
      <c r="G90" s="88"/>
      <c r="H90" s="88"/>
    </row>
    <row r="91" spans="2:8" x14ac:dyDescent="0.25">
      <c r="B91" s="88"/>
      <c r="C91" s="88"/>
      <c r="D91" s="88"/>
      <c r="E91" s="88"/>
      <c r="F91" s="88"/>
      <c r="G91" s="88"/>
      <c r="H91" s="88"/>
    </row>
    <row r="92" spans="2:8" x14ac:dyDescent="0.25">
      <c r="B92" s="88"/>
      <c r="C92" s="88"/>
      <c r="D92" s="88"/>
      <c r="E92" s="88"/>
      <c r="F92" s="88"/>
      <c r="G92" s="88"/>
      <c r="H92" s="88"/>
    </row>
    <row r="93" spans="2:8" x14ac:dyDescent="0.25">
      <c r="B93" s="88"/>
      <c r="C93" s="88"/>
      <c r="D93" s="88"/>
      <c r="E93" s="88"/>
      <c r="F93" s="88"/>
      <c r="G93" s="88"/>
      <c r="H93" s="88"/>
    </row>
    <row r="94" spans="2:8" x14ac:dyDescent="0.25">
      <c r="B94" s="88"/>
      <c r="C94" s="88"/>
      <c r="D94" s="88"/>
      <c r="E94" s="88"/>
      <c r="F94" s="88"/>
      <c r="G94" s="88"/>
      <c r="H94" s="88"/>
    </row>
    <row r="95" spans="2:8" x14ac:dyDescent="0.25">
      <c r="B95" s="88"/>
      <c r="C95" s="88"/>
      <c r="D95" s="88"/>
      <c r="E95" s="88"/>
      <c r="F95" s="88"/>
      <c r="G95" s="88"/>
      <c r="H95" s="88"/>
    </row>
    <row r="96" spans="2:8" x14ac:dyDescent="0.25">
      <c r="B96" s="88"/>
      <c r="C96" s="88"/>
      <c r="D96" s="88"/>
      <c r="E96" s="88"/>
      <c r="F96" s="88"/>
      <c r="G96" s="88"/>
      <c r="H96" s="88"/>
    </row>
    <row r="97" spans="2:8" x14ac:dyDescent="0.25">
      <c r="B97" s="88"/>
      <c r="C97" s="88"/>
      <c r="D97" s="88"/>
      <c r="E97" s="88"/>
      <c r="F97" s="88"/>
      <c r="G97" s="88"/>
      <c r="H97" s="88"/>
    </row>
    <row r="98" spans="2:8" x14ac:dyDescent="0.25">
      <c r="B98" s="88"/>
      <c r="C98" s="88"/>
      <c r="D98" s="88"/>
      <c r="E98" s="88"/>
      <c r="F98" s="88"/>
      <c r="G98" s="88"/>
      <c r="H98" s="88"/>
    </row>
  </sheetData>
  <customSheetViews>
    <customSheetView guid="{2E70E708-B73C-4323-9253-4875EF82DB2B}" scale="85" showPageBreaks="1" topLeftCell="A48">
      <selection activeCell="J59" sqref="J59"/>
    </customSheetView>
  </customSheetViews>
  <mergeCells count="9">
    <mergeCell ref="J11:J14"/>
    <mergeCell ref="B11:B15"/>
    <mergeCell ref="B44:B49"/>
    <mergeCell ref="B5:B10"/>
    <mergeCell ref="B50:B54"/>
    <mergeCell ref="B16:B30"/>
    <mergeCell ref="B31:B38"/>
    <mergeCell ref="I28:I30"/>
    <mergeCell ref="I11:I13"/>
  </mergeCells>
  <phoneticPr fontId="7" type="noConversion"/>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rowBreaks count="1" manualBreakCount="1">
    <brk id="40" max="16383"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L38"/>
  <sheetViews>
    <sheetView showGridLines="0" topLeftCell="A8" zoomScaleNormal="100" zoomScaleSheetLayoutView="80" workbookViewId="0">
      <selection activeCell="F16" sqref="F16"/>
    </sheetView>
  </sheetViews>
  <sheetFormatPr baseColWidth="10" defaultRowHeight="13.2" x14ac:dyDescent="0.25"/>
  <cols>
    <col min="1" max="1" width="5.6640625" style="83" customWidth="1"/>
    <col min="2" max="2" width="5.6640625" customWidth="1"/>
    <col min="3" max="3" width="12.5546875" customWidth="1"/>
    <col min="4" max="4" width="11.5546875" bestFit="1" customWidth="1"/>
    <col min="5" max="5" width="17.109375" bestFit="1" customWidth="1"/>
    <col min="6" max="6" width="32" bestFit="1" customWidth="1"/>
    <col min="7" max="7" width="14.5546875" customWidth="1"/>
    <col min="8" max="8" width="45.5546875" customWidth="1"/>
    <col min="9" max="9" width="31.109375" customWidth="1"/>
    <col min="10" max="10" width="12.5546875" customWidth="1"/>
  </cols>
  <sheetData>
    <row r="1" spans="2:12" ht="15" customHeight="1" x14ac:dyDescent="0.25"/>
    <row r="2" spans="2:12" ht="21.75" customHeight="1" x14ac:dyDescent="0.4">
      <c r="C2" s="95" t="s">
        <v>184</v>
      </c>
    </row>
    <row r="3" spans="2:12" s="83" customFormat="1" ht="15" customHeight="1" thickBot="1" x14ac:dyDescent="0.35">
      <c r="C3" s="150"/>
    </row>
    <row r="4" spans="2:12" ht="32.25" customHeight="1" thickBot="1" x14ac:dyDescent="0.3">
      <c r="C4" s="24" t="s">
        <v>83</v>
      </c>
      <c r="D4" s="25" t="s">
        <v>84</v>
      </c>
      <c r="E4" s="26" t="s">
        <v>85</v>
      </c>
      <c r="F4" s="25" t="s">
        <v>86</v>
      </c>
      <c r="G4" s="25" t="s">
        <v>14</v>
      </c>
      <c r="H4" s="25" t="s">
        <v>87</v>
      </c>
    </row>
    <row r="5" spans="2:12" ht="39" customHeight="1" thickBot="1" x14ac:dyDescent="0.3">
      <c r="B5" s="693" t="s">
        <v>62</v>
      </c>
      <c r="C5" s="229" t="s">
        <v>2</v>
      </c>
      <c r="D5" s="36">
        <v>8</v>
      </c>
      <c r="E5" s="178" t="s">
        <v>374</v>
      </c>
      <c r="F5" s="387" t="str">
        <f>Filled_by_requestor!H13</f>
        <v>TMOAKZ01</v>
      </c>
      <c r="G5" s="175" t="s">
        <v>96</v>
      </c>
      <c r="H5" s="30" t="s">
        <v>99</v>
      </c>
    </row>
    <row r="6" spans="2:12" ht="40.200000000000003" thickBot="1" x14ac:dyDescent="0.3">
      <c r="B6" s="694"/>
      <c r="C6" s="176" t="s">
        <v>3</v>
      </c>
      <c r="D6" s="177">
        <v>8</v>
      </c>
      <c r="E6" s="178" t="s">
        <v>375</v>
      </c>
      <c r="F6" s="387" t="str">
        <f>Filled_by_requestor!C22</f>
        <v>IPSL0110</v>
      </c>
      <c r="G6" s="175" t="s">
        <v>96</v>
      </c>
      <c r="H6" s="179" t="s">
        <v>320</v>
      </c>
    </row>
    <row r="7" spans="2:12" ht="26.25" customHeight="1" thickBot="1" x14ac:dyDescent="0.3">
      <c r="B7" s="694"/>
      <c r="C7" s="176" t="s">
        <v>4</v>
      </c>
      <c r="D7" s="177">
        <v>8</v>
      </c>
      <c r="E7" s="178" t="s">
        <v>10</v>
      </c>
      <c r="F7" s="394" t="s">
        <v>8</v>
      </c>
      <c r="G7" s="175" t="s">
        <v>96</v>
      </c>
      <c r="H7" s="93" t="s">
        <v>94</v>
      </c>
    </row>
    <row r="8" spans="2:12" ht="53.4" thickBot="1" x14ac:dyDescent="0.3">
      <c r="B8" s="694"/>
      <c r="C8" s="176" t="s">
        <v>5</v>
      </c>
      <c r="D8" s="177">
        <v>4</v>
      </c>
      <c r="E8" s="178" t="s">
        <v>16</v>
      </c>
      <c r="F8" s="394" t="s">
        <v>27</v>
      </c>
      <c r="G8" s="175" t="s">
        <v>96</v>
      </c>
      <c r="H8" s="93" t="s">
        <v>510</v>
      </c>
      <c r="K8" s="3"/>
      <c r="L8" s="21"/>
    </row>
    <row r="9" spans="2:12" ht="26.25" customHeight="1" thickBot="1" x14ac:dyDescent="0.3">
      <c r="B9" s="694"/>
      <c r="C9" s="176" t="s">
        <v>6</v>
      </c>
      <c r="D9" s="177">
        <v>4</v>
      </c>
      <c r="E9" s="178" t="s">
        <v>17</v>
      </c>
      <c r="F9" s="394" t="s">
        <v>7</v>
      </c>
      <c r="G9" s="180" t="s">
        <v>97</v>
      </c>
      <c r="H9" s="93" t="s">
        <v>92</v>
      </c>
    </row>
    <row r="10" spans="2:12" ht="26.25" customHeight="1" thickBot="1" x14ac:dyDescent="0.3">
      <c r="B10" s="713"/>
      <c r="C10" s="181" t="s">
        <v>22</v>
      </c>
      <c r="D10" s="45">
        <v>14</v>
      </c>
      <c r="E10" s="159" t="s">
        <v>11</v>
      </c>
      <c r="F10" s="395" t="s">
        <v>529</v>
      </c>
      <c r="G10" s="182" t="s">
        <v>97</v>
      </c>
      <c r="H10" s="160" t="s">
        <v>93</v>
      </c>
    </row>
    <row r="11" spans="2:12" ht="26.25" customHeight="1" thickBot="1" x14ac:dyDescent="0.3">
      <c r="B11" s="696" t="s">
        <v>119</v>
      </c>
      <c r="C11" s="183" t="s">
        <v>35</v>
      </c>
      <c r="D11" s="47">
        <v>2</v>
      </c>
      <c r="E11" s="161" t="s">
        <v>28</v>
      </c>
      <c r="F11" s="388">
        <f>Filled_by_requestor!G22</f>
        <v>11</v>
      </c>
      <c r="G11" s="48" t="s">
        <v>97</v>
      </c>
      <c r="H11" s="184" t="s">
        <v>88</v>
      </c>
      <c r="K11" s="3"/>
    </row>
    <row r="12" spans="2:12" ht="26.25" customHeight="1" thickBot="1" x14ac:dyDescent="0.3">
      <c r="B12" s="697"/>
      <c r="C12" s="185" t="s">
        <v>36</v>
      </c>
      <c r="D12" s="49">
        <v>8</v>
      </c>
      <c r="E12" s="163" t="s">
        <v>29</v>
      </c>
      <c r="F12" s="389" t="str">
        <f>F5</f>
        <v>TMOAKZ01</v>
      </c>
      <c r="G12" s="50" t="s">
        <v>96</v>
      </c>
      <c r="H12" s="186" t="s">
        <v>30</v>
      </c>
    </row>
    <row r="13" spans="2:12" ht="26.25" customHeight="1" thickBot="1" x14ac:dyDescent="0.3">
      <c r="B13" s="697"/>
      <c r="C13" s="185" t="s">
        <v>24</v>
      </c>
      <c r="D13" s="49">
        <v>8</v>
      </c>
      <c r="E13" s="163" t="s">
        <v>31</v>
      </c>
      <c r="F13" s="396" t="s">
        <v>8</v>
      </c>
      <c r="G13" s="50" t="s">
        <v>96</v>
      </c>
      <c r="H13" s="186" t="s">
        <v>94</v>
      </c>
    </row>
    <row r="14" spans="2:12" ht="53.4" thickBot="1" x14ac:dyDescent="0.3">
      <c r="B14" s="697"/>
      <c r="C14" s="258" t="s">
        <v>44</v>
      </c>
      <c r="D14" s="259">
        <v>18</v>
      </c>
      <c r="E14" s="163" t="s">
        <v>32</v>
      </c>
      <c r="F14" s="621" t="s">
        <v>517</v>
      </c>
      <c r="G14" s="52" t="s">
        <v>15</v>
      </c>
      <c r="H14" s="622" t="s">
        <v>518</v>
      </c>
      <c r="K14" s="3"/>
      <c r="L14" s="3"/>
    </row>
    <row r="15" spans="2:12" ht="26.25" customHeight="1" thickBot="1" x14ac:dyDescent="0.3">
      <c r="B15" s="698"/>
      <c r="C15" s="188" t="s">
        <v>45</v>
      </c>
      <c r="D15" s="54">
        <v>4</v>
      </c>
      <c r="E15" s="166" t="s">
        <v>33</v>
      </c>
      <c r="F15" s="419" t="s">
        <v>38</v>
      </c>
      <c r="G15" s="55" t="s">
        <v>98</v>
      </c>
      <c r="H15" s="56" t="s">
        <v>65</v>
      </c>
    </row>
    <row r="16" spans="2:12" ht="40.5" customHeight="1" thickBot="1" x14ac:dyDescent="0.3">
      <c r="B16" s="699" t="s">
        <v>231</v>
      </c>
      <c r="C16" s="230" t="s">
        <v>195</v>
      </c>
      <c r="D16" s="231">
        <v>8</v>
      </c>
      <c r="E16" s="167" t="s">
        <v>70</v>
      </c>
      <c r="F16" s="390" t="str">
        <f>Filled_by_requestor!N58&amp;"   "</f>
        <v xml:space="preserve">Z2150   </v>
      </c>
      <c r="G16" s="191" t="s">
        <v>96</v>
      </c>
      <c r="H16" s="33" t="s">
        <v>367</v>
      </c>
      <c r="I16" s="3"/>
      <c r="J16" s="27"/>
      <c r="L16" s="3"/>
    </row>
    <row r="17" spans="2:12" ht="26.25" customHeight="1" thickBot="1" x14ac:dyDescent="0.3">
      <c r="B17" s="700"/>
      <c r="C17" s="232" t="s">
        <v>196</v>
      </c>
      <c r="D17" s="58">
        <v>12</v>
      </c>
      <c r="E17" s="192" t="s">
        <v>12</v>
      </c>
      <c r="F17" s="399" t="s">
        <v>74</v>
      </c>
      <c r="G17" s="193" t="s">
        <v>96</v>
      </c>
      <c r="H17" s="33" t="s">
        <v>328</v>
      </c>
      <c r="I17" s="16"/>
      <c r="J17" s="17"/>
    </row>
    <row r="18" spans="2:12" ht="26.25" customHeight="1" thickBot="1" x14ac:dyDescent="0.3">
      <c r="B18" s="701"/>
      <c r="C18" s="233" t="s">
        <v>197</v>
      </c>
      <c r="D18" s="234">
        <v>2</v>
      </c>
      <c r="E18" s="235" t="s">
        <v>13</v>
      </c>
      <c r="F18" s="418" t="str">
        <f>Filled_by_requestor!K22</f>
        <v>OR</v>
      </c>
      <c r="G18" s="197" t="s">
        <v>96</v>
      </c>
      <c r="H18" s="198" t="s">
        <v>69</v>
      </c>
      <c r="I18" s="22"/>
      <c r="J18" s="23"/>
    </row>
    <row r="19" spans="2:12" s="83" customFormat="1" ht="26.25" customHeight="1" x14ac:dyDescent="0.25">
      <c r="C19" s="88"/>
      <c r="D19" s="88"/>
      <c r="E19" s="88"/>
      <c r="F19" s="88"/>
      <c r="G19" s="88"/>
      <c r="H19" s="88"/>
      <c r="I19" s="23"/>
      <c r="J19" s="23"/>
    </row>
    <row r="20" spans="2:12" x14ac:dyDescent="0.25">
      <c r="C20" s="88"/>
      <c r="D20" s="88"/>
      <c r="E20" s="88"/>
      <c r="F20" s="88"/>
      <c r="G20" s="88"/>
      <c r="H20" s="88"/>
    </row>
    <row r="21" spans="2:12" ht="18.75" customHeight="1" x14ac:dyDescent="0.3">
      <c r="C21" s="150" t="s">
        <v>104</v>
      </c>
      <c r="D21" s="150"/>
      <c r="E21" s="150"/>
      <c r="F21" s="150"/>
      <c r="G21" s="150"/>
      <c r="H21" s="150"/>
      <c r="L21" s="3"/>
    </row>
    <row r="22" spans="2:12" ht="8.25" customHeight="1" thickBot="1" x14ac:dyDescent="0.3">
      <c r="C22" s="88"/>
      <c r="D22" s="88"/>
      <c r="E22" s="88"/>
      <c r="F22" s="88"/>
      <c r="G22" s="88"/>
      <c r="H22" s="88"/>
    </row>
    <row r="23" spans="2:12" ht="16.2" thickBot="1" x14ac:dyDescent="0.3">
      <c r="C23" s="24" t="s">
        <v>83</v>
      </c>
      <c r="D23" s="25" t="s">
        <v>84</v>
      </c>
      <c r="E23" s="26" t="s">
        <v>85</v>
      </c>
      <c r="F23" s="25" t="s">
        <v>86</v>
      </c>
      <c r="G23" s="25" t="s">
        <v>14</v>
      </c>
      <c r="H23" s="25" t="s">
        <v>87</v>
      </c>
    </row>
    <row r="24" spans="2:12" ht="56.25" customHeight="1" thickBot="1" x14ac:dyDescent="0.3">
      <c r="B24" s="693" t="s">
        <v>62</v>
      </c>
      <c r="C24" s="174" t="s">
        <v>2</v>
      </c>
      <c r="D24" s="36">
        <v>8</v>
      </c>
      <c r="E24" s="178" t="s">
        <v>374</v>
      </c>
      <c r="F24" s="420" t="str">
        <f>F6</f>
        <v>IPSL0110</v>
      </c>
      <c r="G24" s="236" t="s">
        <v>96</v>
      </c>
      <c r="H24" s="38" t="s">
        <v>101</v>
      </c>
    </row>
    <row r="25" spans="2:12" ht="53.4" thickBot="1" x14ac:dyDescent="0.3">
      <c r="B25" s="694"/>
      <c r="C25" s="237" t="s">
        <v>3</v>
      </c>
      <c r="D25" s="40">
        <v>8</v>
      </c>
      <c r="E25" s="178" t="s">
        <v>375</v>
      </c>
      <c r="F25" s="421" t="str">
        <f>F5</f>
        <v>TMOAKZ01</v>
      </c>
      <c r="G25" s="238" t="s">
        <v>96</v>
      </c>
      <c r="H25" s="30" t="s">
        <v>95</v>
      </c>
    </row>
    <row r="26" spans="2:12" ht="26.25" customHeight="1" thickBot="1" x14ac:dyDescent="0.3">
      <c r="B26" s="694"/>
      <c r="C26" s="237" t="s">
        <v>4</v>
      </c>
      <c r="D26" s="40">
        <v>8</v>
      </c>
      <c r="E26" s="157" t="s">
        <v>10</v>
      </c>
      <c r="F26" s="423" t="s">
        <v>43</v>
      </c>
      <c r="G26" s="238" t="s">
        <v>96</v>
      </c>
      <c r="H26" s="93" t="s">
        <v>94</v>
      </c>
    </row>
    <row r="27" spans="2:12" ht="35.25" customHeight="1" thickBot="1" x14ac:dyDescent="0.3">
      <c r="B27" s="694"/>
      <c r="C27" s="237" t="s">
        <v>5</v>
      </c>
      <c r="D27" s="40">
        <v>4</v>
      </c>
      <c r="E27" s="157" t="s">
        <v>16</v>
      </c>
      <c r="F27" s="423" t="s">
        <v>27</v>
      </c>
      <c r="G27" s="238" t="s">
        <v>96</v>
      </c>
      <c r="H27" s="620" t="s">
        <v>515</v>
      </c>
    </row>
    <row r="28" spans="2:12" ht="26.25" customHeight="1" thickBot="1" x14ac:dyDescent="0.3">
      <c r="B28" s="694"/>
      <c r="C28" s="237" t="s">
        <v>6</v>
      </c>
      <c r="D28" s="40">
        <v>4</v>
      </c>
      <c r="E28" s="157" t="s">
        <v>17</v>
      </c>
      <c r="F28" s="423" t="s">
        <v>7</v>
      </c>
      <c r="G28" s="239" t="s">
        <v>97</v>
      </c>
      <c r="H28" s="93" t="s">
        <v>92</v>
      </c>
    </row>
    <row r="29" spans="2:12" ht="26.25" customHeight="1" thickBot="1" x14ac:dyDescent="0.3">
      <c r="B29" s="713"/>
      <c r="C29" s="240" t="s">
        <v>22</v>
      </c>
      <c r="D29" s="45">
        <v>14</v>
      </c>
      <c r="E29" s="159" t="s">
        <v>11</v>
      </c>
      <c r="F29" s="395" t="s">
        <v>23</v>
      </c>
      <c r="G29" s="79" t="s">
        <v>97</v>
      </c>
      <c r="H29" s="160" t="s">
        <v>93</v>
      </c>
    </row>
    <row r="30" spans="2:12" ht="26.25" customHeight="1" thickBot="1" x14ac:dyDescent="0.3">
      <c r="B30" s="696" t="s">
        <v>119</v>
      </c>
      <c r="C30" s="241" t="s">
        <v>35</v>
      </c>
      <c r="D30" s="47">
        <v>2</v>
      </c>
      <c r="E30" s="161" t="s">
        <v>28</v>
      </c>
      <c r="F30" s="388">
        <f>F11</f>
        <v>11</v>
      </c>
      <c r="G30" s="48" t="s">
        <v>97</v>
      </c>
      <c r="H30" s="184" t="s">
        <v>88</v>
      </c>
      <c r="K30" s="3"/>
    </row>
    <row r="31" spans="2:12" ht="26.25" customHeight="1" thickBot="1" x14ac:dyDescent="0.3">
      <c r="B31" s="697"/>
      <c r="C31" s="242" t="s">
        <v>36</v>
      </c>
      <c r="D31" s="49">
        <v>8</v>
      </c>
      <c r="E31" s="163" t="s">
        <v>29</v>
      </c>
      <c r="F31" s="389" t="str">
        <f>F25</f>
        <v>TMOAKZ01</v>
      </c>
      <c r="G31" s="50" t="s">
        <v>96</v>
      </c>
      <c r="H31" s="186" t="s">
        <v>30</v>
      </c>
    </row>
    <row r="32" spans="2:12" ht="26.25" customHeight="1" thickBot="1" x14ac:dyDescent="0.3">
      <c r="B32" s="697"/>
      <c r="C32" s="242" t="s">
        <v>24</v>
      </c>
      <c r="D32" s="49">
        <v>8</v>
      </c>
      <c r="E32" s="163" t="s">
        <v>31</v>
      </c>
      <c r="F32" s="396" t="s">
        <v>8</v>
      </c>
      <c r="G32" s="50" t="s">
        <v>96</v>
      </c>
      <c r="H32" s="186" t="s">
        <v>94</v>
      </c>
    </row>
    <row r="33" spans="2:9" ht="53.4" thickBot="1" x14ac:dyDescent="0.3">
      <c r="B33" s="697"/>
      <c r="C33" s="243" t="s">
        <v>44</v>
      </c>
      <c r="D33" s="51">
        <v>18</v>
      </c>
      <c r="E33" s="165" t="s">
        <v>32</v>
      </c>
      <c r="F33" s="621" t="s">
        <v>517</v>
      </c>
      <c r="G33" s="52" t="s">
        <v>15</v>
      </c>
      <c r="H33" s="622" t="s">
        <v>518</v>
      </c>
    </row>
    <row r="34" spans="2:9" ht="27" customHeight="1" thickBot="1" x14ac:dyDescent="0.3">
      <c r="B34" s="698"/>
      <c r="C34" s="244" t="s">
        <v>45</v>
      </c>
      <c r="D34" s="54">
        <v>4</v>
      </c>
      <c r="E34" s="166" t="s">
        <v>33</v>
      </c>
      <c r="F34" s="398" t="s">
        <v>34</v>
      </c>
      <c r="G34" s="245" t="s">
        <v>98</v>
      </c>
      <c r="H34" s="80" t="s">
        <v>40</v>
      </c>
    </row>
    <row r="35" spans="2:9" s="94" customFormat="1" ht="24" customHeight="1" thickBot="1" x14ac:dyDescent="0.3">
      <c r="B35" s="83"/>
      <c r="C35" s="149"/>
      <c r="D35" s="149"/>
      <c r="E35" s="149"/>
      <c r="F35" s="422"/>
      <c r="G35" s="149"/>
      <c r="H35" s="149"/>
      <c r="I35" s="145"/>
    </row>
    <row r="36" spans="2:9" ht="36.75" customHeight="1" x14ac:dyDescent="0.25">
      <c r="B36" s="83"/>
      <c r="C36" s="246" t="s">
        <v>215</v>
      </c>
      <c r="D36" s="247">
        <v>5</v>
      </c>
      <c r="E36" s="248" t="s">
        <v>70</v>
      </c>
      <c r="F36" s="424" t="str">
        <f>Filled_by_requestor!N58</f>
        <v>Z2150</v>
      </c>
      <c r="G36" s="249" t="s">
        <v>98</v>
      </c>
      <c r="H36" s="250" t="s">
        <v>90</v>
      </c>
      <c r="I36" s="148" t="s">
        <v>232</v>
      </c>
    </row>
    <row r="37" spans="2:9" ht="39.75" customHeight="1" thickBot="1" x14ac:dyDescent="0.3">
      <c r="B37" s="83"/>
      <c r="C37" s="251" t="s">
        <v>216</v>
      </c>
      <c r="D37" s="252">
        <v>7</v>
      </c>
      <c r="E37" s="253" t="s">
        <v>12</v>
      </c>
      <c r="F37" s="425" t="s">
        <v>82</v>
      </c>
      <c r="G37" s="254" t="s">
        <v>98</v>
      </c>
      <c r="H37" s="255" t="s">
        <v>102</v>
      </c>
    </row>
    <row r="38" spans="2:9" s="83" customFormat="1" ht="26.25" customHeight="1" x14ac:dyDescent="0.25">
      <c r="C38" s="122"/>
      <c r="D38" s="123"/>
      <c r="E38" s="124"/>
      <c r="F38" s="125"/>
      <c r="G38" s="126"/>
      <c r="H38" s="127"/>
    </row>
  </sheetData>
  <customSheetViews>
    <customSheetView guid="{2E70E708-B73C-4323-9253-4875EF82DB2B}" scale="85" showPageBreaks="1" topLeftCell="A37">
      <selection activeCell="G59" sqref="G59"/>
    </customSheetView>
  </customSheetViews>
  <mergeCells count="5">
    <mergeCell ref="B24:B29"/>
    <mergeCell ref="B30:B34"/>
    <mergeCell ref="B5:B10"/>
    <mergeCell ref="B11:B15"/>
    <mergeCell ref="B16:B18"/>
  </mergeCells>
  <phoneticPr fontId="7" type="noConversion"/>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rowBreaks count="1" manualBreakCount="1">
    <brk id="20" min="1" max="7"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1:L36"/>
  <sheetViews>
    <sheetView showGridLines="0" topLeftCell="A2" zoomScale="80" zoomScaleNormal="80" zoomScaleSheetLayoutView="80" workbookViewId="0">
      <selection activeCell="H14" sqref="H14"/>
    </sheetView>
  </sheetViews>
  <sheetFormatPr baseColWidth="10" defaultColWidth="11.44140625" defaultRowHeight="13.2" x14ac:dyDescent="0.25"/>
  <cols>
    <col min="1" max="2" width="5.6640625" style="83" customWidth="1"/>
    <col min="3" max="3" width="12.5546875" style="83" customWidth="1"/>
    <col min="4" max="4" width="11.5546875" style="83" bestFit="1" customWidth="1"/>
    <col min="5" max="5" width="17.109375" style="83" bestFit="1" customWidth="1"/>
    <col min="6" max="6" width="32" style="83" bestFit="1" customWidth="1"/>
    <col min="7" max="7" width="14.5546875" style="83" customWidth="1"/>
    <col min="8" max="8" width="45.5546875" style="83" customWidth="1"/>
    <col min="9" max="9" width="31.109375" style="83" customWidth="1"/>
    <col min="10" max="10" width="12.5546875" style="83" customWidth="1"/>
    <col min="11" max="16384" width="11.44140625" style="83"/>
  </cols>
  <sheetData>
    <row r="1" spans="2:12" ht="15" customHeight="1" x14ac:dyDescent="0.25"/>
    <row r="2" spans="2:12" ht="15" customHeight="1" x14ac:dyDescent="0.3">
      <c r="C2" s="150" t="s">
        <v>326</v>
      </c>
    </row>
    <row r="3" spans="2:12" ht="15" customHeight="1" thickBot="1" x14ac:dyDescent="0.35">
      <c r="C3" s="150"/>
    </row>
    <row r="4" spans="2:12" ht="32.25" customHeight="1" thickBot="1" x14ac:dyDescent="0.3">
      <c r="C4" s="24" t="s">
        <v>83</v>
      </c>
      <c r="D4" s="25" t="s">
        <v>84</v>
      </c>
      <c r="E4" s="26" t="s">
        <v>85</v>
      </c>
      <c r="F4" s="25" t="s">
        <v>86</v>
      </c>
      <c r="G4" s="25" t="s">
        <v>14</v>
      </c>
      <c r="H4" s="25" t="s">
        <v>87</v>
      </c>
    </row>
    <row r="5" spans="2:12" ht="39" customHeight="1" thickBot="1" x14ac:dyDescent="0.3">
      <c r="B5" s="693" t="s">
        <v>62</v>
      </c>
      <c r="C5" s="229" t="s">
        <v>2</v>
      </c>
      <c r="D5" s="36">
        <v>8</v>
      </c>
      <c r="E5" s="178" t="s">
        <v>374</v>
      </c>
      <c r="F5" s="387" t="str">
        <f>Filled_by_requestor!H13</f>
        <v>TMOAKZ01</v>
      </c>
      <c r="G5" s="175" t="s">
        <v>96</v>
      </c>
      <c r="H5" s="30" t="s">
        <v>99</v>
      </c>
    </row>
    <row r="6" spans="2:12" ht="53.4" thickBot="1" x14ac:dyDescent="0.3">
      <c r="B6" s="694"/>
      <c r="C6" s="176" t="s">
        <v>3</v>
      </c>
      <c r="D6" s="177">
        <v>8</v>
      </c>
      <c r="E6" s="178" t="s">
        <v>375</v>
      </c>
      <c r="F6" s="387" t="str">
        <f>Filled_by_requestor!C22</f>
        <v>IPSL0110</v>
      </c>
      <c r="G6" s="175" t="s">
        <v>96</v>
      </c>
      <c r="H6" s="179" t="s">
        <v>100</v>
      </c>
    </row>
    <row r="7" spans="2:12" ht="26.25" customHeight="1" thickBot="1" x14ac:dyDescent="0.3">
      <c r="B7" s="694"/>
      <c r="C7" s="176" t="s">
        <v>4</v>
      </c>
      <c r="D7" s="177">
        <v>8</v>
      </c>
      <c r="E7" s="178" t="s">
        <v>10</v>
      </c>
      <c r="F7" s="394" t="s">
        <v>8</v>
      </c>
      <c r="G7" s="175" t="s">
        <v>96</v>
      </c>
      <c r="H7" s="93" t="s">
        <v>94</v>
      </c>
    </row>
    <row r="8" spans="2:12" ht="40.200000000000003" thickBot="1" x14ac:dyDescent="0.3">
      <c r="B8" s="694"/>
      <c r="C8" s="176" t="s">
        <v>5</v>
      </c>
      <c r="D8" s="177">
        <v>4</v>
      </c>
      <c r="E8" s="178" t="s">
        <v>16</v>
      </c>
      <c r="F8" s="394" t="s">
        <v>27</v>
      </c>
      <c r="G8" s="175" t="s">
        <v>96</v>
      </c>
      <c r="H8" s="93" t="s">
        <v>161</v>
      </c>
      <c r="K8" s="3"/>
      <c r="L8" s="21"/>
    </row>
    <row r="9" spans="2:12" ht="26.25" customHeight="1" thickBot="1" x14ac:dyDescent="0.3">
      <c r="B9" s="694"/>
      <c r="C9" s="176" t="s">
        <v>6</v>
      </c>
      <c r="D9" s="177">
        <v>4</v>
      </c>
      <c r="E9" s="178" t="s">
        <v>17</v>
      </c>
      <c r="F9" s="394" t="s">
        <v>7</v>
      </c>
      <c r="G9" s="180" t="s">
        <v>97</v>
      </c>
      <c r="H9" s="93" t="s">
        <v>92</v>
      </c>
    </row>
    <row r="10" spans="2:12" ht="26.25" customHeight="1" thickBot="1" x14ac:dyDescent="0.3">
      <c r="B10" s="713"/>
      <c r="C10" s="181" t="s">
        <v>22</v>
      </c>
      <c r="D10" s="45">
        <v>14</v>
      </c>
      <c r="E10" s="159" t="s">
        <v>11</v>
      </c>
      <c r="F10" s="395" t="s">
        <v>23</v>
      </c>
      <c r="G10" s="182" t="s">
        <v>97</v>
      </c>
      <c r="H10" s="160" t="s">
        <v>93</v>
      </c>
    </row>
    <row r="11" spans="2:12" ht="26.25" customHeight="1" thickBot="1" x14ac:dyDescent="0.3">
      <c r="B11" s="696" t="s">
        <v>119</v>
      </c>
      <c r="C11" s="183" t="s">
        <v>35</v>
      </c>
      <c r="D11" s="47">
        <v>2</v>
      </c>
      <c r="E11" s="161" t="s">
        <v>28</v>
      </c>
      <c r="F11" s="388">
        <f>Filled_by_requestor!G22</f>
        <v>11</v>
      </c>
      <c r="G11" s="48" t="s">
        <v>97</v>
      </c>
      <c r="H11" s="184" t="s">
        <v>88</v>
      </c>
      <c r="K11" s="3"/>
    </row>
    <row r="12" spans="2:12" ht="26.25" customHeight="1" thickBot="1" x14ac:dyDescent="0.3">
      <c r="B12" s="697"/>
      <c r="C12" s="185" t="s">
        <v>36</v>
      </c>
      <c r="D12" s="49">
        <v>8</v>
      </c>
      <c r="E12" s="163" t="s">
        <v>29</v>
      </c>
      <c r="F12" s="389" t="str">
        <f>F5</f>
        <v>TMOAKZ01</v>
      </c>
      <c r="G12" s="50" t="s">
        <v>96</v>
      </c>
      <c r="H12" s="186" t="s">
        <v>30</v>
      </c>
    </row>
    <row r="13" spans="2:12" ht="26.25" customHeight="1" thickBot="1" x14ac:dyDescent="0.3">
      <c r="B13" s="697"/>
      <c r="C13" s="185" t="s">
        <v>24</v>
      </c>
      <c r="D13" s="49">
        <v>8</v>
      </c>
      <c r="E13" s="163" t="s">
        <v>31</v>
      </c>
      <c r="F13" s="396" t="s">
        <v>8</v>
      </c>
      <c r="G13" s="50" t="s">
        <v>96</v>
      </c>
      <c r="H13" s="186" t="s">
        <v>94</v>
      </c>
    </row>
    <row r="14" spans="2:12" ht="53.4" thickBot="1" x14ac:dyDescent="0.3">
      <c r="B14" s="697"/>
      <c r="C14" s="258" t="s">
        <v>44</v>
      </c>
      <c r="D14" s="259">
        <v>18</v>
      </c>
      <c r="E14" s="163" t="s">
        <v>32</v>
      </c>
      <c r="F14" s="621" t="s">
        <v>517</v>
      </c>
      <c r="G14" s="52" t="s">
        <v>15</v>
      </c>
      <c r="H14" s="622" t="s">
        <v>518</v>
      </c>
      <c r="K14" s="3"/>
      <c r="L14" s="3"/>
    </row>
    <row r="15" spans="2:12" ht="26.25" customHeight="1" thickBot="1" x14ac:dyDescent="0.3">
      <c r="B15" s="698"/>
      <c r="C15" s="188" t="s">
        <v>45</v>
      </c>
      <c r="D15" s="54">
        <v>4</v>
      </c>
      <c r="E15" s="166" t="s">
        <v>33</v>
      </c>
      <c r="F15" s="419" t="s">
        <v>38</v>
      </c>
      <c r="G15" s="55" t="s">
        <v>98</v>
      </c>
      <c r="H15" s="56" t="s">
        <v>65</v>
      </c>
    </row>
    <row r="16" spans="2:12" ht="45" customHeight="1" thickBot="1" x14ac:dyDescent="0.3">
      <c r="B16" s="699" t="s">
        <v>231</v>
      </c>
      <c r="C16" s="230" t="s">
        <v>195</v>
      </c>
      <c r="D16" s="231">
        <v>8</v>
      </c>
      <c r="E16" s="167" t="s">
        <v>70</v>
      </c>
      <c r="F16" s="390" t="str">
        <f>Filled_by_requestor!N58</f>
        <v>Z2150</v>
      </c>
      <c r="G16" s="191" t="s">
        <v>96</v>
      </c>
      <c r="H16" s="618" t="s">
        <v>512</v>
      </c>
      <c r="J16" s="27"/>
      <c r="L16" s="3"/>
    </row>
    <row r="17" spans="2:12" ht="26.25" customHeight="1" thickBot="1" x14ac:dyDescent="0.3">
      <c r="B17" s="700"/>
      <c r="C17" s="232" t="s">
        <v>196</v>
      </c>
      <c r="D17" s="58">
        <v>12</v>
      </c>
      <c r="E17" s="192" t="s">
        <v>12</v>
      </c>
      <c r="F17" s="399" t="s">
        <v>252</v>
      </c>
      <c r="G17" s="193" t="s">
        <v>96</v>
      </c>
      <c r="H17" s="33" t="s">
        <v>253</v>
      </c>
      <c r="I17" s="16"/>
      <c r="J17" s="17"/>
    </row>
    <row r="18" spans="2:12" ht="26.25" customHeight="1" thickBot="1" x14ac:dyDescent="0.3">
      <c r="B18" s="701"/>
      <c r="C18" s="233" t="s">
        <v>197</v>
      </c>
      <c r="D18" s="234">
        <v>2</v>
      </c>
      <c r="E18" s="235" t="s">
        <v>13</v>
      </c>
      <c r="F18" s="617" t="s">
        <v>511</v>
      </c>
      <c r="G18" s="197" t="s">
        <v>96</v>
      </c>
      <c r="H18" s="619" t="s">
        <v>513</v>
      </c>
      <c r="I18" s="22"/>
      <c r="J18" s="23"/>
    </row>
    <row r="19" spans="2:12" ht="26.25" customHeight="1" x14ac:dyDescent="0.25">
      <c r="C19" s="88"/>
      <c r="D19" s="88"/>
      <c r="E19" s="88"/>
      <c r="F19" s="88"/>
      <c r="G19" s="88"/>
      <c r="H19" s="88"/>
      <c r="I19" s="23"/>
      <c r="J19" s="23"/>
    </row>
    <row r="20" spans="2:12" x14ac:dyDescent="0.25">
      <c r="C20" s="88"/>
      <c r="D20" s="88"/>
      <c r="E20" s="88"/>
      <c r="F20" s="88"/>
      <c r="G20" s="88"/>
      <c r="H20" s="88"/>
    </row>
    <row r="21" spans="2:12" ht="18.75" customHeight="1" x14ac:dyDescent="0.3">
      <c r="C21" s="150" t="s">
        <v>104</v>
      </c>
      <c r="D21" s="150"/>
      <c r="E21" s="150"/>
      <c r="F21" s="150"/>
      <c r="G21" s="150"/>
      <c r="H21" s="150"/>
      <c r="L21" s="3"/>
    </row>
    <row r="22" spans="2:12" ht="8.25" customHeight="1" thickBot="1" x14ac:dyDescent="0.3">
      <c r="C22" s="88"/>
      <c r="D22" s="88"/>
      <c r="E22" s="88"/>
      <c r="F22" s="88"/>
      <c r="G22" s="88"/>
      <c r="H22" s="88"/>
    </row>
    <row r="23" spans="2:12" ht="16.2" thickBot="1" x14ac:dyDescent="0.3">
      <c r="C23" s="24" t="s">
        <v>83</v>
      </c>
      <c r="D23" s="25" t="s">
        <v>84</v>
      </c>
      <c r="E23" s="26" t="s">
        <v>85</v>
      </c>
      <c r="F23" s="25" t="s">
        <v>86</v>
      </c>
      <c r="G23" s="25" t="s">
        <v>14</v>
      </c>
      <c r="H23" s="25" t="s">
        <v>87</v>
      </c>
    </row>
    <row r="24" spans="2:12" ht="56.25" customHeight="1" thickBot="1" x14ac:dyDescent="0.3">
      <c r="B24" s="693" t="s">
        <v>62</v>
      </c>
      <c r="C24" s="174" t="s">
        <v>2</v>
      </c>
      <c r="D24" s="36">
        <v>8</v>
      </c>
      <c r="E24" s="178" t="s">
        <v>374</v>
      </c>
      <c r="F24" s="420" t="str">
        <f>F6</f>
        <v>IPSL0110</v>
      </c>
      <c r="G24" s="236" t="s">
        <v>96</v>
      </c>
      <c r="H24" s="38" t="s">
        <v>101</v>
      </c>
    </row>
    <row r="25" spans="2:12" ht="53.4" thickBot="1" x14ac:dyDescent="0.3">
      <c r="B25" s="694"/>
      <c r="C25" s="237" t="s">
        <v>3</v>
      </c>
      <c r="D25" s="40">
        <v>8</v>
      </c>
      <c r="E25" s="178" t="s">
        <v>375</v>
      </c>
      <c r="F25" s="421" t="str">
        <f>F5</f>
        <v>TMOAKZ01</v>
      </c>
      <c r="G25" s="238" t="s">
        <v>96</v>
      </c>
      <c r="H25" s="30" t="s">
        <v>95</v>
      </c>
    </row>
    <row r="26" spans="2:12" ht="26.25" customHeight="1" thickBot="1" x14ac:dyDescent="0.3">
      <c r="B26" s="694"/>
      <c r="C26" s="237" t="s">
        <v>4</v>
      </c>
      <c r="D26" s="40">
        <v>8</v>
      </c>
      <c r="E26" s="157" t="s">
        <v>10</v>
      </c>
      <c r="F26" s="423" t="s">
        <v>43</v>
      </c>
      <c r="G26" s="238" t="s">
        <v>96</v>
      </c>
      <c r="H26" s="93" t="s">
        <v>94</v>
      </c>
    </row>
    <row r="27" spans="2:12" ht="35.25" customHeight="1" thickBot="1" x14ac:dyDescent="0.3">
      <c r="B27" s="694"/>
      <c r="C27" s="237" t="s">
        <v>5</v>
      </c>
      <c r="D27" s="40">
        <v>4</v>
      </c>
      <c r="E27" s="157" t="s">
        <v>16</v>
      </c>
      <c r="F27" s="423" t="s">
        <v>27</v>
      </c>
      <c r="G27" s="238" t="s">
        <v>96</v>
      </c>
      <c r="H27" s="42" t="s">
        <v>162</v>
      </c>
    </row>
    <row r="28" spans="2:12" ht="26.25" customHeight="1" thickBot="1" x14ac:dyDescent="0.3">
      <c r="B28" s="694"/>
      <c r="C28" s="237" t="s">
        <v>6</v>
      </c>
      <c r="D28" s="40">
        <v>4</v>
      </c>
      <c r="E28" s="157" t="s">
        <v>17</v>
      </c>
      <c r="F28" s="423" t="s">
        <v>7</v>
      </c>
      <c r="G28" s="239" t="s">
        <v>97</v>
      </c>
      <c r="H28" s="93" t="s">
        <v>92</v>
      </c>
    </row>
    <row r="29" spans="2:12" ht="26.25" customHeight="1" thickBot="1" x14ac:dyDescent="0.3">
      <c r="B29" s="713"/>
      <c r="C29" s="240" t="s">
        <v>22</v>
      </c>
      <c r="D29" s="45">
        <v>14</v>
      </c>
      <c r="E29" s="159" t="s">
        <v>11</v>
      </c>
      <c r="F29" s="395" t="s">
        <v>23</v>
      </c>
      <c r="G29" s="79" t="s">
        <v>97</v>
      </c>
      <c r="H29" s="160" t="s">
        <v>93</v>
      </c>
    </row>
    <row r="30" spans="2:12" ht="26.25" customHeight="1" thickBot="1" x14ac:dyDescent="0.3">
      <c r="B30" s="696" t="s">
        <v>119</v>
      </c>
      <c r="C30" s="241" t="s">
        <v>35</v>
      </c>
      <c r="D30" s="47">
        <v>2</v>
      </c>
      <c r="E30" s="161" t="s">
        <v>28</v>
      </c>
      <c r="F30" s="388">
        <f>F11</f>
        <v>11</v>
      </c>
      <c r="G30" s="48" t="s">
        <v>97</v>
      </c>
      <c r="H30" s="184" t="s">
        <v>88</v>
      </c>
      <c r="K30" s="3"/>
    </row>
    <row r="31" spans="2:12" ht="26.25" customHeight="1" thickBot="1" x14ac:dyDescent="0.3">
      <c r="B31" s="697"/>
      <c r="C31" s="242" t="s">
        <v>36</v>
      </c>
      <c r="D31" s="49">
        <v>8</v>
      </c>
      <c r="E31" s="163" t="s">
        <v>29</v>
      </c>
      <c r="F31" s="389" t="str">
        <f>F25</f>
        <v>TMOAKZ01</v>
      </c>
      <c r="G31" s="50" t="s">
        <v>96</v>
      </c>
      <c r="H31" s="186" t="s">
        <v>30</v>
      </c>
    </row>
    <row r="32" spans="2:12" ht="26.25" customHeight="1" thickBot="1" x14ac:dyDescent="0.3">
      <c r="B32" s="697"/>
      <c r="C32" s="242" t="s">
        <v>24</v>
      </c>
      <c r="D32" s="49">
        <v>8</v>
      </c>
      <c r="E32" s="163" t="s">
        <v>31</v>
      </c>
      <c r="F32" s="396" t="s">
        <v>8</v>
      </c>
      <c r="G32" s="50" t="s">
        <v>96</v>
      </c>
      <c r="H32" s="186" t="s">
        <v>94</v>
      </c>
    </row>
    <row r="33" spans="2:9" ht="53.4" thickBot="1" x14ac:dyDescent="0.3">
      <c r="B33" s="697"/>
      <c r="C33" s="243" t="s">
        <v>44</v>
      </c>
      <c r="D33" s="51">
        <v>18</v>
      </c>
      <c r="E33" s="165" t="s">
        <v>32</v>
      </c>
      <c r="F33" s="621" t="s">
        <v>517</v>
      </c>
      <c r="G33" s="52" t="s">
        <v>15</v>
      </c>
      <c r="H33" s="622" t="s">
        <v>518</v>
      </c>
    </row>
    <row r="34" spans="2:9" ht="26.25" customHeight="1" thickBot="1" x14ac:dyDescent="0.3">
      <c r="B34" s="698"/>
      <c r="C34" s="244" t="s">
        <v>45</v>
      </c>
      <c r="D34" s="54">
        <v>4</v>
      </c>
      <c r="E34" s="166" t="s">
        <v>33</v>
      </c>
      <c r="F34" s="398" t="s">
        <v>34</v>
      </c>
      <c r="G34" s="245" t="s">
        <v>98</v>
      </c>
      <c r="H34" s="80" t="s">
        <v>40</v>
      </c>
    </row>
    <row r="35" spans="2:9" s="94" customFormat="1" ht="15.6" x14ac:dyDescent="0.25">
      <c r="B35" s="83"/>
      <c r="C35" s="149"/>
      <c r="D35" s="149"/>
      <c r="E35" s="149"/>
      <c r="F35" s="422"/>
      <c r="G35" s="149"/>
      <c r="H35" s="149"/>
      <c r="I35" s="149"/>
    </row>
    <row r="36" spans="2:9" x14ac:dyDescent="0.25">
      <c r="I36" s="148"/>
    </row>
  </sheetData>
  <mergeCells count="5">
    <mergeCell ref="B5:B10"/>
    <mergeCell ref="B11:B15"/>
    <mergeCell ref="B16:B18"/>
    <mergeCell ref="B24:B29"/>
    <mergeCell ref="B30:B34"/>
  </mergeCells>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colBreaks count="1" manualBreakCount="1">
    <brk id="8" max="33"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B1:L38"/>
  <sheetViews>
    <sheetView showGridLines="0" topLeftCell="A7" zoomScale="80" zoomScaleNormal="80" zoomScaleSheetLayoutView="80" workbookViewId="0">
      <selection activeCell="F14" sqref="F14"/>
    </sheetView>
  </sheetViews>
  <sheetFormatPr baseColWidth="10" defaultColWidth="11.44140625" defaultRowHeight="13.2" x14ac:dyDescent="0.25"/>
  <cols>
    <col min="1" max="2" width="5.6640625" style="83" customWidth="1"/>
    <col min="3" max="3" width="12.5546875" style="83" customWidth="1"/>
    <col min="4" max="4" width="11.5546875" style="83" bestFit="1" customWidth="1"/>
    <col min="5" max="5" width="17.109375" style="83" bestFit="1" customWidth="1"/>
    <col min="6" max="6" width="27.5546875" style="83" bestFit="1" customWidth="1"/>
    <col min="7" max="7" width="14.5546875" style="83" customWidth="1"/>
    <col min="8" max="8" width="53.6640625" style="83" customWidth="1"/>
    <col min="9" max="9" width="31.109375" style="83" customWidth="1"/>
    <col min="10" max="10" width="12.5546875" style="83" customWidth="1"/>
    <col min="11" max="16384" width="11.44140625" style="83"/>
  </cols>
  <sheetData>
    <row r="1" spans="2:12" ht="15" customHeight="1" x14ac:dyDescent="0.25"/>
    <row r="2" spans="2:12" ht="21.75" customHeight="1" x14ac:dyDescent="0.3">
      <c r="C2" s="434" t="s">
        <v>322</v>
      </c>
    </row>
    <row r="3" spans="2:12" ht="15" customHeight="1" thickBot="1" x14ac:dyDescent="0.35">
      <c r="C3" s="150"/>
    </row>
    <row r="4" spans="2:12" ht="32.25" customHeight="1" thickBot="1" x14ac:dyDescent="0.3">
      <c r="C4" s="24" t="s">
        <v>83</v>
      </c>
      <c r="D4" s="25" t="s">
        <v>84</v>
      </c>
      <c r="E4" s="26" t="s">
        <v>85</v>
      </c>
      <c r="F4" s="25" t="s">
        <v>86</v>
      </c>
      <c r="G4" s="25" t="s">
        <v>14</v>
      </c>
      <c r="H4" s="25" t="s">
        <v>87</v>
      </c>
    </row>
    <row r="5" spans="2:12" ht="39" customHeight="1" thickBot="1" x14ac:dyDescent="0.3">
      <c r="B5" s="693" t="s">
        <v>62</v>
      </c>
      <c r="C5" s="229" t="s">
        <v>2</v>
      </c>
      <c r="D5" s="36">
        <v>8</v>
      </c>
      <c r="E5" s="178" t="s">
        <v>374</v>
      </c>
      <c r="F5" s="387" t="str">
        <f>Filled_by_requestor!C22</f>
        <v>IPSL0110</v>
      </c>
      <c r="G5" s="175" t="s">
        <v>96</v>
      </c>
      <c r="H5" s="38" t="s">
        <v>105</v>
      </c>
    </row>
    <row r="6" spans="2:12" ht="53.4" thickBot="1" x14ac:dyDescent="0.3">
      <c r="B6" s="694"/>
      <c r="C6" s="176" t="s">
        <v>3</v>
      </c>
      <c r="D6" s="177">
        <v>8</v>
      </c>
      <c r="E6" s="178" t="s">
        <v>375</v>
      </c>
      <c r="F6" s="387" t="str">
        <f>Filled_by_requestor!H13</f>
        <v>TMOAKZ01</v>
      </c>
      <c r="G6" s="175" t="s">
        <v>96</v>
      </c>
      <c r="H6" s="179" t="s">
        <v>106</v>
      </c>
    </row>
    <row r="7" spans="2:12" ht="26.25" customHeight="1" thickBot="1" x14ac:dyDescent="0.3">
      <c r="B7" s="694"/>
      <c r="C7" s="176" t="s">
        <v>4</v>
      </c>
      <c r="D7" s="177">
        <v>8</v>
      </c>
      <c r="E7" s="178" t="s">
        <v>10</v>
      </c>
      <c r="F7" s="394" t="s">
        <v>323</v>
      </c>
      <c r="G7" s="175" t="s">
        <v>96</v>
      </c>
      <c r="H7" s="93" t="s">
        <v>94</v>
      </c>
    </row>
    <row r="8" spans="2:12" ht="40.200000000000003" thickBot="1" x14ac:dyDescent="0.3">
      <c r="B8" s="694"/>
      <c r="C8" s="176" t="s">
        <v>5</v>
      </c>
      <c r="D8" s="177">
        <v>4</v>
      </c>
      <c r="E8" s="178" t="s">
        <v>16</v>
      </c>
      <c r="F8" s="394" t="s">
        <v>27</v>
      </c>
      <c r="G8" s="175" t="s">
        <v>96</v>
      </c>
      <c r="H8" s="93" t="s">
        <v>161</v>
      </c>
      <c r="K8" s="3"/>
      <c r="L8" s="21"/>
    </row>
    <row r="9" spans="2:12" ht="26.25" customHeight="1" thickBot="1" x14ac:dyDescent="0.3">
      <c r="B9" s="694"/>
      <c r="C9" s="176" t="s">
        <v>6</v>
      </c>
      <c r="D9" s="177">
        <v>4</v>
      </c>
      <c r="E9" s="178" t="s">
        <v>17</v>
      </c>
      <c r="F9" s="394" t="s">
        <v>7</v>
      </c>
      <c r="G9" s="180" t="s">
        <v>97</v>
      </c>
      <c r="H9" s="93" t="s">
        <v>92</v>
      </c>
    </row>
    <row r="10" spans="2:12" ht="26.25" customHeight="1" thickBot="1" x14ac:dyDescent="0.3">
      <c r="B10" s="713"/>
      <c r="C10" s="181" t="s">
        <v>22</v>
      </c>
      <c r="D10" s="45">
        <v>14</v>
      </c>
      <c r="E10" s="159" t="s">
        <v>11</v>
      </c>
      <c r="F10" s="395" t="s">
        <v>23</v>
      </c>
      <c r="G10" s="182" t="s">
        <v>97</v>
      </c>
      <c r="H10" s="160" t="s">
        <v>93</v>
      </c>
    </row>
    <row r="11" spans="2:12" ht="26.25" customHeight="1" thickBot="1" x14ac:dyDescent="0.3">
      <c r="B11" s="696" t="s">
        <v>119</v>
      </c>
      <c r="C11" s="183" t="s">
        <v>35</v>
      </c>
      <c r="D11" s="47">
        <v>2</v>
      </c>
      <c r="E11" s="161" t="s">
        <v>28</v>
      </c>
      <c r="F11" s="388">
        <f>Filled_by_requestor!G22</f>
        <v>11</v>
      </c>
      <c r="G11" s="48" t="s">
        <v>97</v>
      </c>
      <c r="H11" s="184" t="s">
        <v>88</v>
      </c>
      <c r="K11" s="3"/>
    </row>
    <row r="12" spans="2:12" ht="26.25" customHeight="1" thickBot="1" x14ac:dyDescent="0.3">
      <c r="B12" s="697"/>
      <c r="C12" s="185" t="s">
        <v>36</v>
      </c>
      <c r="D12" s="49">
        <v>8</v>
      </c>
      <c r="E12" s="163" t="s">
        <v>29</v>
      </c>
      <c r="F12" s="389" t="str">
        <f>F5</f>
        <v>IPSL0110</v>
      </c>
      <c r="G12" s="50" t="s">
        <v>96</v>
      </c>
      <c r="H12" s="186" t="s">
        <v>30</v>
      </c>
    </row>
    <row r="13" spans="2:12" ht="26.25" customHeight="1" thickBot="1" x14ac:dyDescent="0.3">
      <c r="B13" s="697"/>
      <c r="C13" s="185" t="s">
        <v>24</v>
      </c>
      <c r="D13" s="49">
        <v>8</v>
      </c>
      <c r="E13" s="163" t="s">
        <v>31</v>
      </c>
      <c r="F13" s="396" t="s">
        <v>323</v>
      </c>
      <c r="G13" s="50" t="s">
        <v>96</v>
      </c>
      <c r="H13" s="186" t="s">
        <v>94</v>
      </c>
    </row>
    <row r="14" spans="2:12" ht="27" thickBot="1" x14ac:dyDescent="0.3">
      <c r="B14" s="697"/>
      <c r="C14" s="258" t="s">
        <v>44</v>
      </c>
      <c r="D14" s="259">
        <v>18</v>
      </c>
      <c r="E14" s="163" t="s">
        <v>32</v>
      </c>
      <c r="F14" s="435" t="s">
        <v>354</v>
      </c>
      <c r="G14" s="50" t="s">
        <v>96</v>
      </c>
      <c r="H14" s="103" t="s">
        <v>356</v>
      </c>
      <c r="K14" s="3"/>
      <c r="L14" s="3"/>
    </row>
    <row r="15" spans="2:12" ht="26.25" customHeight="1" thickBot="1" x14ac:dyDescent="0.3">
      <c r="B15" s="698"/>
      <c r="C15" s="188" t="s">
        <v>45</v>
      </c>
      <c r="D15" s="54">
        <v>4</v>
      </c>
      <c r="E15" s="166" t="s">
        <v>33</v>
      </c>
      <c r="F15" s="419" t="s">
        <v>38</v>
      </c>
      <c r="G15" s="55" t="s">
        <v>98</v>
      </c>
      <c r="H15" s="56" t="s">
        <v>65</v>
      </c>
    </row>
    <row r="16" spans="2:12" ht="40.5" customHeight="1" thickBot="1" x14ac:dyDescent="0.3">
      <c r="B16" s="699" t="s">
        <v>231</v>
      </c>
      <c r="C16" s="230" t="s">
        <v>195</v>
      </c>
      <c r="D16" s="231">
        <v>8</v>
      </c>
      <c r="E16" s="167" t="s">
        <v>70</v>
      </c>
      <c r="F16" s="390" t="s">
        <v>324</v>
      </c>
      <c r="G16" s="191" t="s">
        <v>96</v>
      </c>
      <c r="H16" s="33" t="s">
        <v>348</v>
      </c>
      <c r="I16" s="3"/>
      <c r="J16" s="27"/>
      <c r="L16" s="3"/>
    </row>
    <row r="17" spans="2:12" ht="26.25" customHeight="1" thickBot="1" x14ac:dyDescent="0.3">
      <c r="B17" s="700"/>
      <c r="C17" s="232" t="s">
        <v>196</v>
      </c>
      <c r="D17" s="58">
        <v>12</v>
      </c>
      <c r="E17" s="192" t="s">
        <v>12</v>
      </c>
      <c r="F17" s="399" t="s">
        <v>74</v>
      </c>
      <c r="G17" s="193" t="s">
        <v>96</v>
      </c>
      <c r="H17" s="33" t="s">
        <v>153</v>
      </c>
      <c r="I17" s="16"/>
      <c r="J17" s="17"/>
    </row>
    <row r="18" spans="2:12" ht="26.25" customHeight="1" thickBot="1" x14ac:dyDescent="0.3">
      <c r="B18" s="701"/>
      <c r="C18" s="233" t="s">
        <v>197</v>
      </c>
      <c r="D18" s="234">
        <v>2</v>
      </c>
      <c r="E18" s="235" t="s">
        <v>13</v>
      </c>
      <c r="F18" s="418" t="str">
        <f>Filled_by_requestor!K22</f>
        <v>OR</v>
      </c>
      <c r="G18" s="197" t="s">
        <v>96</v>
      </c>
      <c r="H18" s="198" t="s">
        <v>69</v>
      </c>
      <c r="I18" s="22"/>
      <c r="J18" s="23"/>
    </row>
    <row r="19" spans="2:12" ht="26.25" customHeight="1" x14ac:dyDescent="0.25">
      <c r="C19" s="88"/>
      <c r="D19" s="88"/>
      <c r="E19" s="88"/>
      <c r="F19" s="88"/>
      <c r="G19" s="88"/>
      <c r="H19" s="88"/>
      <c r="I19" s="23"/>
      <c r="J19" s="23"/>
    </row>
    <row r="20" spans="2:12" x14ac:dyDescent="0.25">
      <c r="C20" s="88"/>
      <c r="D20" s="88"/>
      <c r="E20" s="88"/>
      <c r="F20" s="88"/>
      <c r="G20" s="88"/>
      <c r="H20" s="88"/>
    </row>
    <row r="21" spans="2:12" ht="18.75" customHeight="1" x14ac:dyDescent="0.3">
      <c r="C21" s="150" t="s">
        <v>353</v>
      </c>
      <c r="D21" s="150"/>
      <c r="E21" s="150"/>
      <c r="F21" s="150"/>
      <c r="G21" s="150"/>
      <c r="H21" s="150"/>
      <c r="L21" s="3"/>
    </row>
    <row r="22" spans="2:12" ht="8.25" customHeight="1" thickBot="1" x14ac:dyDescent="0.3">
      <c r="C22" s="88"/>
      <c r="D22" s="88"/>
      <c r="E22" s="88"/>
      <c r="F22" s="88"/>
      <c r="G22" s="88"/>
      <c r="H22" s="88"/>
    </row>
    <row r="23" spans="2:12" ht="16.2" thickBot="1" x14ac:dyDescent="0.3">
      <c r="C23" s="24" t="s">
        <v>83</v>
      </c>
      <c r="D23" s="25" t="s">
        <v>84</v>
      </c>
      <c r="E23" s="26" t="s">
        <v>85</v>
      </c>
      <c r="F23" s="25" t="s">
        <v>86</v>
      </c>
      <c r="G23" s="25" t="s">
        <v>14</v>
      </c>
      <c r="H23" s="25" t="s">
        <v>87</v>
      </c>
    </row>
    <row r="24" spans="2:12" ht="41.25" customHeight="1" thickBot="1" x14ac:dyDescent="0.3">
      <c r="B24" s="693" t="s">
        <v>62</v>
      </c>
      <c r="C24" s="174" t="s">
        <v>2</v>
      </c>
      <c r="D24" s="36">
        <v>8</v>
      </c>
      <c r="E24" s="178" t="s">
        <v>374</v>
      </c>
      <c r="F24" s="420" t="str">
        <f>F6</f>
        <v>TMOAKZ01</v>
      </c>
      <c r="G24" s="236" t="s">
        <v>96</v>
      </c>
      <c r="H24" s="30" t="s">
        <v>99</v>
      </c>
    </row>
    <row r="25" spans="2:12" ht="53.4" thickBot="1" x14ac:dyDescent="0.3">
      <c r="B25" s="694"/>
      <c r="C25" s="237" t="s">
        <v>3</v>
      </c>
      <c r="D25" s="40">
        <v>8</v>
      </c>
      <c r="E25" s="178" t="s">
        <v>375</v>
      </c>
      <c r="F25" s="421" t="str">
        <f>F5</f>
        <v>IPSL0110</v>
      </c>
      <c r="G25" s="238" t="s">
        <v>96</v>
      </c>
      <c r="H25" s="179" t="s">
        <v>100</v>
      </c>
    </row>
    <row r="26" spans="2:12" ht="26.25" customHeight="1" thickBot="1" x14ac:dyDescent="0.3">
      <c r="B26" s="694"/>
      <c r="C26" s="237" t="s">
        <v>4</v>
      </c>
      <c r="D26" s="40">
        <v>8</v>
      </c>
      <c r="E26" s="157" t="s">
        <v>10</v>
      </c>
      <c r="F26" s="423" t="s">
        <v>325</v>
      </c>
      <c r="G26" s="238" t="s">
        <v>96</v>
      </c>
      <c r="H26" s="93" t="s">
        <v>94</v>
      </c>
    </row>
    <row r="27" spans="2:12" ht="35.25" customHeight="1" thickBot="1" x14ac:dyDescent="0.3">
      <c r="B27" s="694"/>
      <c r="C27" s="237" t="s">
        <v>5</v>
      </c>
      <c r="D27" s="40">
        <v>4</v>
      </c>
      <c r="E27" s="157" t="s">
        <v>16</v>
      </c>
      <c r="F27" s="423" t="s">
        <v>27</v>
      </c>
      <c r="G27" s="238" t="s">
        <v>96</v>
      </c>
      <c r="H27" s="42" t="s">
        <v>162</v>
      </c>
    </row>
    <row r="28" spans="2:12" ht="26.25" customHeight="1" thickBot="1" x14ac:dyDescent="0.3">
      <c r="B28" s="694"/>
      <c r="C28" s="237" t="s">
        <v>6</v>
      </c>
      <c r="D28" s="40">
        <v>4</v>
      </c>
      <c r="E28" s="157" t="s">
        <v>17</v>
      </c>
      <c r="F28" s="423" t="s">
        <v>7</v>
      </c>
      <c r="G28" s="239" t="s">
        <v>97</v>
      </c>
      <c r="H28" s="93" t="s">
        <v>92</v>
      </c>
    </row>
    <row r="29" spans="2:12" ht="26.25" customHeight="1" thickBot="1" x14ac:dyDescent="0.3">
      <c r="B29" s="713"/>
      <c r="C29" s="240" t="s">
        <v>22</v>
      </c>
      <c r="D29" s="45">
        <v>14</v>
      </c>
      <c r="E29" s="159" t="s">
        <v>11</v>
      </c>
      <c r="F29" s="395" t="s">
        <v>23</v>
      </c>
      <c r="G29" s="79" t="s">
        <v>97</v>
      </c>
      <c r="H29" s="160" t="s">
        <v>93</v>
      </c>
    </row>
    <row r="30" spans="2:12" ht="26.25" customHeight="1" thickBot="1" x14ac:dyDescent="0.3">
      <c r="B30" s="696" t="s">
        <v>119</v>
      </c>
      <c r="C30" s="241" t="s">
        <v>35</v>
      </c>
      <c r="D30" s="47">
        <v>2</v>
      </c>
      <c r="E30" s="161" t="s">
        <v>28</v>
      </c>
      <c r="F30" s="388">
        <f>F11</f>
        <v>11</v>
      </c>
      <c r="G30" s="48" t="s">
        <v>97</v>
      </c>
      <c r="H30" s="184" t="s">
        <v>88</v>
      </c>
      <c r="K30" s="3"/>
    </row>
    <row r="31" spans="2:12" ht="26.25" customHeight="1" thickBot="1" x14ac:dyDescent="0.3">
      <c r="B31" s="697"/>
      <c r="C31" s="242" t="s">
        <v>36</v>
      </c>
      <c r="D31" s="49">
        <v>8</v>
      </c>
      <c r="E31" s="163" t="s">
        <v>29</v>
      </c>
      <c r="F31" s="389" t="str">
        <f>F25</f>
        <v>IPSL0110</v>
      </c>
      <c r="G31" s="50" t="s">
        <v>96</v>
      </c>
      <c r="H31" s="186" t="s">
        <v>30</v>
      </c>
    </row>
    <row r="32" spans="2:12" ht="26.25" customHeight="1" thickBot="1" x14ac:dyDescent="0.3">
      <c r="B32" s="697"/>
      <c r="C32" s="242" t="s">
        <v>24</v>
      </c>
      <c r="D32" s="49">
        <v>8</v>
      </c>
      <c r="E32" s="163" t="s">
        <v>31</v>
      </c>
      <c r="F32" s="396" t="s">
        <v>323</v>
      </c>
      <c r="G32" s="50" t="s">
        <v>96</v>
      </c>
      <c r="H32" s="186" t="s">
        <v>94</v>
      </c>
    </row>
    <row r="33" spans="2:9" ht="26.25" customHeight="1" thickBot="1" x14ac:dyDescent="0.3">
      <c r="B33" s="697"/>
      <c r="C33" s="243" t="s">
        <v>44</v>
      </c>
      <c r="D33" s="51">
        <v>18</v>
      </c>
      <c r="E33" s="165" t="s">
        <v>32</v>
      </c>
      <c r="F33" s="436" t="str">
        <f>F14</f>
        <v>RELEASE10001234567</v>
      </c>
      <c r="G33" s="50" t="s">
        <v>96</v>
      </c>
      <c r="H33" s="104" t="s">
        <v>89</v>
      </c>
    </row>
    <row r="34" spans="2:9" ht="27" customHeight="1" thickBot="1" x14ac:dyDescent="0.3">
      <c r="B34" s="698"/>
      <c r="C34" s="244" t="s">
        <v>45</v>
      </c>
      <c r="D34" s="54">
        <v>4</v>
      </c>
      <c r="E34" s="166" t="s">
        <v>33</v>
      </c>
      <c r="F34" s="398" t="s">
        <v>34</v>
      </c>
      <c r="G34" s="245" t="s">
        <v>98</v>
      </c>
      <c r="H34" s="80" t="s">
        <v>40</v>
      </c>
    </row>
    <row r="35" spans="2:9" s="94" customFormat="1" ht="24" customHeight="1" x14ac:dyDescent="0.25">
      <c r="B35" s="83"/>
      <c r="C35" s="149"/>
      <c r="D35" s="149"/>
      <c r="E35" s="149"/>
      <c r="F35" s="422"/>
      <c r="G35" s="149"/>
      <c r="H35" s="149"/>
      <c r="I35" s="149"/>
    </row>
    <row r="36" spans="2:9" ht="36.75" customHeight="1" x14ac:dyDescent="0.25">
      <c r="I36" s="148"/>
    </row>
    <row r="37" spans="2:9" ht="39.75" customHeight="1" x14ac:dyDescent="0.25"/>
    <row r="38" spans="2:9" ht="26.25" customHeight="1" x14ac:dyDescent="0.25"/>
  </sheetData>
  <mergeCells count="5">
    <mergeCell ref="B5:B10"/>
    <mergeCell ref="B11:B15"/>
    <mergeCell ref="B16:B18"/>
    <mergeCell ref="B24:B29"/>
    <mergeCell ref="B30:B34"/>
  </mergeCells>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rowBreaks count="1" manualBreakCount="1">
    <brk id="20" min="1" max="7"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H36"/>
  <sheetViews>
    <sheetView showGridLines="0" zoomScale="80" zoomScaleNormal="80" zoomScaleSheetLayoutView="80" workbookViewId="0">
      <selection activeCell="A3" sqref="A3:C4"/>
    </sheetView>
  </sheetViews>
  <sheetFormatPr baseColWidth="10" defaultRowHeight="13.2" x14ac:dyDescent="0.25"/>
  <cols>
    <col min="1" max="1" width="5.6640625" style="83" customWidth="1"/>
    <col min="2" max="2" width="5.6640625" customWidth="1"/>
    <col min="3" max="3" width="12.6640625" customWidth="1"/>
    <col min="4" max="4" width="11.5546875" bestFit="1" customWidth="1"/>
    <col min="5" max="5" width="17.109375" bestFit="1" customWidth="1"/>
    <col min="6" max="6" width="25.6640625" bestFit="1" customWidth="1"/>
    <col min="7" max="7" width="14.5546875" bestFit="1" customWidth="1"/>
    <col min="8" max="8" width="49.109375" customWidth="1"/>
    <col min="9" max="9" width="17.33203125" customWidth="1"/>
  </cols>
  <sheetData>
    <row r="1" spans="2:8" ht="15" customHeight="1" x14ac:dyDescent="0.25"/>
    <row r="2" spans="2:8" ht="15" customHeight="1" x14ac:dyDescent="0.3">
      <c r="C2" s="28" t="s">
        <v>124</v>
      </c>
    </row>
    <row r="3" spans="2:8" ht="15" customHeight="1" thickBot="1" x14ac:dyDescent="0.3"/>
    <row r="4" spans="2:8" ht="21.75" customHeight="1" thickBot="1" x14ac:dyDescent="0.3">
      <c r="B4" s="88"/>
      <c r="C4" s="24" t="s">
        <v>83</v>
      </c>
      <c r="D4" s="25" t="s">
        <v>84</v>
      </c>
      <c r="E4" s="26" t="s">
        <v>85</v>
      </c>
      <c r="F4" s="25" t="s">
        <v>86</v>
      </c>
      <c r="G4" s="25" t="s">
        <v>14</v>
      </c>
      <c r="H4" s="25" t="s">
        <v>87</v>
      </c>
    </row>
    <row r="5" spans="2:8" ht="40.200000000000003" thickBot="1" x14ac:dyDescent="0.3">
      <c r="B5" s="693" t="s">
        <v>62</v>
      </c>
      <c r="C5" s="86" t="s">
        <v>2</v>
      </c>
      <c r="D5" s="36">
        <v>8</v>
      </c>
      <c r="E5" s="178" t="s">
        <v>374</v>
      </c>
      <c r="F5" s="387" t="str">
        <f>Filled_by_requestor!H13</f>
        <v>TMOAKZ01</v>
      </c>
      <c r="G5" s="175" t="s">
        <v>96</v>
      </c>
      <c r="H5" s="30" t="s">
        <v>99</v>
      </c>
    </row>
    <row r="6" spans="2:8" ht="40.200000000000003" thickBot="1" x14ac:dyDescent="0.3">
      <c r="B6" s="694"/>
      <c r="C6" s="176" t="s">
        <v>3</v>
      </c>
      <c r="D6" s="177">
        <v>8</v>
      </c>
      <c r="E6" s="178" t="s">
        <v>375</v>
      </c>
      <c r="F6" s="387" t="str">
        <f>Filled_by_requestor!C22</f>
        <v>IPSL0110</v>
      </c>
      <c r="G6" s="175" t="s">
        <v>96</v>
      </c>
      <c r="H6" s="179" t="s">
        <v>319</v>
      </c>
    </row>
    <row r="7" spans="2:8" ht="26.25" customHeight="1" thickBot="1" x14ac:dyDescent="0.3">
      <c r="B7" s="694"/>
      <c r="C7" s="176" t="s">
        <v>4</v>
      </c>
      <c r="D7" s="177">
        <v>8</v>
      </c>
      <c r="E7" s="178" t="s">
        <v>10</v>
      </c>
      <c r="F7" s="394" t="s">
        <v>20</v>
      </c>
      <c r="G7" s="175" t="s">
        <v>96</v>
      </c>
      <c r="H7" s="93" t="s">
        <v>94</v>
      </c>
    </row>
    <row r="8" spans="2:8" ht="26.25" customHeight="1" thickBot="1" x14ac:dyDescent="0.3">
      <c r="B8" s="694"/>
      <c r="C8" s="176" t="s">
        <v>5</v>
      </c>
      <c r="D8" s="177">
        <v>4</v>
      </c>
      <c r="E8" s="178" t="s">
        <v>16</v>
      </c>
      <c r="F8" s="394" t="s">
        <v>27</v>
      </c>
      <c r="G8" s="175" t="s">
        <v>96</v>
      </c>
      <c r="H8" s="93" t="s">
        <v>91</v>
      </c>
    </row>
    <row r="9" spans="2:8" ht="26.25" customHeight="1" thickBot="1" x14ac:dyDescent="0.3">
      <c r="B9" s="694"/>
      <c r="C9" s="176" t="s">
        <v>6</v>
      </c>
      <c r="D9" s="177">
        <v>4</v>
      </c>
      <c r="E9" s="178" t="s">
        <v>17</v>
      </c>
      <c r="F9" s="394" t="s">
        <v>7</v>
      </c>
      <c r="G9" s="180" t="s">
        <v>97</v>
      </c>
      <c r="H9" s="93" t="s">
        <v>92</v>
      </c>
    </row>
    <row r="10" spans="2:8" ht="26.25" customHeight="1" thickBot="1" x14ac:dyDescent="0.3">
      <c r="B10" s="695"/>
      <c r="C10" s="181" t="s">
        <v>22</v>
      </c>
      <c r="D10" s="45">
        <v>14</v>
      </c>
      <c r="E10" s="159" t="s">
        <v>11</v>
      </c>
      <c r="F10" s="395" t="s">
        <v>23</v>
      </c>
      <c r="G10" s="182" t="s">
        <v>97</v>
      </c>
      <c r="H10" s="160" t="s">
        <v>93</v>
      </c>
    </row>
    <row r="11" spans="2:8" ht="26.25" customHeight="1" thickBot="1" x14ac:dyDescent="0.3">
      <c r="B11" s="696" t="s">
        <v>233</v>
      </c>
      <c r="C11" s="183" t="s">
        <v>35</v>
      </c>
      <c r="D11" s="47">
        <v>2</v>
      </c>
      <c r="E11" s="161" t="s">
        <v>28</v>
      </c>
      <c r="F11" s="426">
        <f>Filled_by_requestor!G22</f>
        <v>11</v>
      </c>
      <c r="G11" s="48" t="s">
        <v>97</v>
      </c>
      <c r="H11" s="184" t="s">
        <v>88</v>
      </c>
    </row>
    <row r="12" spans="2:8" ht="26.25" customHeight="1" thickBot="1" x14ac:dyDescent="0.3">
      <c r="B12" s="697"/>
      <c r="C12" s="185" t="s">
        <v>36</v>
      </c>
      <c r="D12" s="49">
        <v>8</v>
      </c>
      <c r="E12" s="163" t="s">
        <v>29</v>
      </c>
      <c r="F12" s="427" t="str">
        <f>Filled_by_requestor!H13</f>
        <v>TMOAKZ01</v>
      </c>
      <c r="G12" s="50" t="s">
        <v>96</v>
      </c>
      <c r="H12" s="186" t="s">
        <v>30</v>
      </c>
    </row>
    <row r="13" spans="2:8" ht="26.25" customHeight="1" thickBot="1" x14ac:dyDescent="0.3">
      <c r="B13" s="697"/>
      <c r="C13" s="185" t="s">
        <v>24</v>
      </c>
      <c r="D13" s="49">
        <v>8</v>
      </c>
      <c r="E13" s="163" t="s">
        <v>31</v>
      </c>
      <c r="F13" s="396" t="s">
        <v>20</v>
      </c>
      <c r="G13" s="50" t="s">
        <v>96</v>
      </c>
      <c r="H13" s="186" t="s">
        <v>94</v>
      </c>
    </row>
    <row r="14" spans="2:8" ht="40.200000000000003" thickBot="1" x14ac:dyDescent="0.3">
      <c r="B14" s="698"/>
      <c r="C14" s="187" t="s">
        <v>44</v>
      </c>
      <c r="D14" s="51">
        <v>18</v>
      </c>
      <c r="E14" s="165" t="s">
        <v>32</v>
      </c>
      <c r="F14" s="397" t="s">
        <v>63</v>
      </c>
      <c r="G14" s="52" t="s">
        <v>96</v>
      </c>
      <c r="H14" s="375" t="s">
        <v>238</v>
      </c>
    </row>
    <row r="15" spans="2:8" ht="14.25" customHeight="1" x14ac:dyDescent="0.25">
      <c r="B15" s="88"/>
      <c r="C15" s="88"/>
      <c r="D15" s="88"/>
      <c r="E15" s="88"/>
      <c r="F15" s="88"/>
      <c r="G15" s="88"/>
      <c r="H15" s="90"/>
    </row>
    <row r="16" spans="2:8" ht="18" customHeight="1" x14ac:dyDescent="0.25">
      <c r="B16" s="88"/>
      <c r="C16" s="146"/>
      <c r="D16" s="146"/>
      <c r="E16" s="146"/>
      <c r="F16" s="146"/>
      <c r="G16" s="146"/>
      <c r="H16" s="146"/>
    </row>
    <row r="17" spans="2:8" ht="17.399999999999999" x14ac:dyDescent="0.3">
      <c r="B17" s="88"/>
      <c r="C17" s="150" t="s">
        <v>126</v>
      </c>
      <c r="D17" s="150"/>
      <c r="E17" s="150"/>
      <c r="F17" s="146"/>
      <c r="G17" s="146"/>
      <c r="H17" s="146"/>
    </row>
    <row r="18" spans="2:8" ht="9.75" customHeight="1" thickBot="1" x14ac:dyDescent="0.3">
      <c r="B18" s="88"/>
      <c r="C18" s="5"/>
      <c r="D18" s="5"/>
      <c r="E18" s="5"/>
      <c r="F18" s="146"/>
      <c r="G18" s="146"/>
      <c r="H18" s="146"/>
    </row>
    <row r="19" spans="2:8" ht="16.2" thickBot="1" x14ac:dyDescent="0.3">
      <c r="B19" s="88"/>
      <c r="C19" s="24" t="s">
        <v>83</v>
      </c>
      <c r="D19" s="25" t="s">
        <v>84</v>
      </c>
      <c r="E19" s="26" t="s">
        <v>85</v>
      </c>
      <c r="F19" s="25" t="s">
        <v>86</v>
      </c>
      <c r="G19" s="25" t="s">
        <v>14</v>
      </c>
      <c r="H19" s="25" t="s">
        <v>87</v>
      </c>
    </row>
    <row r="20" spans="2:8" ht="53.4" thickBot="1" x14ac:dyDescent="0.3">
      <c r="B20" s="693" t="s">
        <v>62</v>
      </c>
      <c r="C20" s="86" t="s">
        <v>2</v>
      </c>
      <c r="D20" s="36">
        <v>8</v>
      </c>
      <c r="E20" s="178" t="s">
        <v>374</v>
      </c>
      <c r="F20" s="387" t="str">
        <f>F6</f>
        <v>IPSL0110</v>
      </c>
      <c r="G20" s="175" t="s">
        <v>96</v>
      </c>
      <c r="H20" s="179" t="s">
        <v>101</v>
      </c>
    </row>
    <row r="21" spans="2:8" ht="54.75" customHeight="1" thickBot="1" x14ac:dyDescent="0.3">
      <c r="B21" s="694"/>
      <c r="C21" s="176" t="s">
        <v>3</v>
      </c>
      <c r="D21" s="177">
        <v>8</v>
      </c>
      <c r="E21" s="178" t="s">
        <v>375</v>
      </c>
      <c r="F21" s="387" t="str">
        <f>F5</f>
        <v>TMOAKZ01</v>
      </c>
      <c r="G21" s="175" t="s">
        <v>96</v>
      </c>
      <c r="H21" s="30" t="s">
        <v>95</v>
      </c>
    </row>
    <row r="22" spans="2:8" ht="26.25" customHeight="1" thickBot="1" x14ac:dyDescent="0.3">
      <c r="B22" s="694"/>
      <c r="C22" s="176" t="s">
        <v>4</v>
      </c>
      <c r="D22" s="177">
        <v>8</v>
      </c>
      <c r="E22" s="178" t="s">
        <v>10</v>
      </c>
      <c r="F22" s="394" t="s">
        <v>25</v>
      </c>
      <c r="G22" s="175" t="s">
        <v>96</v>
      </c>
      <c r="H22" s="93" t="s">
        <v>94</v>
      </c>
    </row>
    <row r="23" spans="2:8" ht="26.25" customHeight="1" thickBot="1" x14ac:dyDescent="0.3">
      <c r="B23" s="694"/>
      <c r="C23" s="176" t="s">
        <v>5</v>
      </c>
      <c r="D23" s="177">
        <v>4</v>
      </c>
      <c r="E23" s="178" t="s">
        <v>16</v>
      </c>
      <c r="F23" s="394" t="s">
        <v>27</v>
      </c>
      <c r="G23" s="175" t="s">
        <v>96</v>
      </c>
      <c r="H23" s="93" t="s">
        <v>162</v>
      </c>
    </row>
    <row r="24" spans="2:8" ht="26.25" customHeight="1" thickBot="1" x14ac:dyDescent="0.3">
      <c r="B24" s="694"/>
      <c r="C24" s="176" t="s">
        <v>6</v>
      </c>
      <c r="D24" s="177">
        <v>4</v>
      </c>
      <c r="E24" s="178" t="s">
        <v>17</v>
      </c>
      <c r="F24" s="394" t="s">
        <v>7</v>
      </c>
      <c r="G24" s="180" t="s">
        <v>97</v>
      </c>
      <c r="H24" s="93" t="s">
        <v>92</v>
      </c>
    </row>
    <row r="25" spans="2:8" ht="26.25" customHeight="1" thickBot="1" x14ac:dyDescent="0.3">
      <c r="B25" s="695"/>
      <c r="C25" s="181" t="s">
        <v>22</v>
      </c>
      <c r="D25" s="45">
        <v>14</v>
      </c>
      <c r="E25" s="159" t="s">
        <v>11</v>
      </c>
      <c r="F25" s="395" t="s">
        <v>41</v>
      </c>
      <c r="G25" s="182" t="s">
        <v>97</v>
      </c>
      <c r="H25" s="160" t="s">
        <v>93</v>
      </c>
    </row>
    <row r="26" spans="2:8" ht="26.25" customHeight="1" thickBot="1" x14ac:dyDescent="0.3">
      <c r="B26" s="696" t="s">
        <v>119</v>
      </c>
      <c r="C26" s="183" t="s">
        <v>35</v>
      </c>
      <c r="D26" s="47">
        <v>2</v>
      </c>
      <c r="E26" s="161" t="s">
        <v>28</v>
      </c>
      <c r="F26" s="388">
        <f>F11</f>
        <v>11</v>
      </c>
      <c r="G26" s="48" t="s">
        <v>97</v>
      </c>
      <c r="H26" s="184" t="s">
        <v>88</v>
      </c>
    </row>
    <row r="27" spans="2:8" ht="26.25" customHeight="1" thickBot="1" x14ac:dyDescent="0.3">
      <c r="B27" s="697"/>
      <c r="C27" s="185" t="s">
        <v>36</v>
      </c>
      <c r="D27" s="49">
        <v>8</v>
      </c>
      <c r="E27" s="163" t="s">
        <v>29</v>
      </c>
      <c r="F27" s="389" t="str">
        <f>F21</f>
        <v>TMOAKZ01</v>
      </c>
      <c r="G27" s="50" t="s">
        <v>96</v>
      </c>
      <c r="H27" s="186" t="s">
        <v>30</v>
      </c>
    </row>
    <row r="28" spans="2:8" ht="26.25" customHeight="1" thickBot="1" x14ac:dyDescent="0.3">
      <c r="B28" s="697"/>
      <c r="C28" s="185" t="s">
        <v>24</v>
      </c>
      <c r="D28" s="49">
        <v>8</v>
      </c>
      <c r="E28" s="163" t="s">
        <v>31</v>
      </c>
      <c r="F28" s="396" t="s">
        <v>20</v>
      </c>
      <c r="G28" s="50" t="s">
        <v>96</v>
      </c>
      <c r="H28" s="186" t="s">
        <v>94</v>
      </c>
    </row>
    <row r="29" spans="2:8" ht="26.25" customHeight="1" thickBot="1" x14ac:dyDescent="0.3">
      <c r="B29" s="697"/>
      <c r="C29" s="187" t="s">
        <v>44</v>
      </c>
      <c r="D29" s="51">
        <v>18</v>
      </c>
      <c r="E29" s="165" t="s">
        <v>32</v>
      </c>
      <c r="F29" s="397" t="s">
        <v>63</v>
      </c>
      <c r="G29" s="50" t="s">
        <v>96</v>
      </c>
      <c r="H29" s="104" t="s">
        <v>125</v>
      </c>
    </row>
    <row r="30" spans="2:8" ht="26.25" customHeight="1" thickBot="1" x14ac:dyDescent="0.3">
      <c r="B30" s="698"/>
      <c r="C30" s="188" t="s">
        <v>45</v>
      </c>
      <c r="D30" s="54">
        <v>4</v>
      </c>
      <c r="E30" s="166" t="s">
        <v>33</v>
      </c>
      <c r="F30" s="398" t="s">
        <v>39</v>
      </c>
      <c r="G30" s="55" t="s">
        <v>98</v>
      </c>
      <c r="H30" s="189" t="s">
        <v>40</v>
      </c>
    </row>
    <row r="31" spans="2:8" x14ac:dyDescent="0.25">
      <c r="B31" s="88"/>
      <c r="C31" s="88"/>
      <c r="D31" s="88"/>
      <c r="E31" s="88"/>
      <c r="F31" s="88"/>
      <c r="G31" s="88"/>
      <c r="H31" s="88"/>
    </row>
    <row r="32" spans="2:8" ht="15" x14ac:dyDescent="0.25">
      <c r="B32" s="88"/>
      <c r="C32" s="714"/>
      <c r="D32" s="714"/>
      <c r="E32" s="714"/>
      <c r="F32" s="714"/>
      <c r="G32" s="714"/>
      <c r="H32" s="714"/>
    </row>
    <row r="33" spans="3:8" ht="15" x14ac:dyDescent="0.25">
      <c r="C33" s="714"/>
      <c r="D33" s="714"/>
      <c r="E33" s="714"/>
      <c r="F33" s="714"/>
      <c r="G33" s="714"/>
      <c r="H33" s="714"/>
    </row>
    <row r="34" spans="3:8" ht="15" x14ac:dyDescent="0.25">
      <c r="C34" s="2"/>
      <c r="D34" s="2"/>
      <c r="E34" s="2"/>
      <c r="F34" s="2"/>
      <c r="G34" s="2"/>
      <c r="H34" s="2"/>
    </row>
    <row r="35" spans="3:8" ht="15" x14ac:dyDescent="0.25">
      <c r="C35" s="2"/>
      <c r="D35" s="2"/>
      <c r="E35" s="2"/>
      <c r="F35" s="2"/>
      <c r="G35" s="2"/>
      <c r="H35" s="2"/>
    </row>
    <row r="36" spans="3:8" ht="15" x14ac:dyDescent="0.25">
      <c r="C36" s="2"/>
      <c r="D36" s="2"/>
      <c r="E36" s="2"/>
      <c r="F36" s="2"/>
      <c r="G36" s="2"/>
      <c r="H36" s="2"/>
    </row>
  </sheetData>
  <customSheetViews>
    <customSheetView guid="{2E70E708-B73C-4323-9253-4875EF82DB2B}" scale="85" showPageBreaks="1" topLeftCell="A18">
      <selection activeCell="G42" sqref="G42"/>
    </customSheetView>
  </customSheetViews>
  <mergeCells count="6">
    <mergeCell ref="C33:H33"/>
    <mergeCell ref="C32:H32"/>
    <mergeCell ref="B26:B30"/>
    <mergeCell ref="B5:B10"/>
    <mergeCell ref="B11:B14"/>
    <mergeCell ref="B20:B25"/>
  </mergeCells>
  <phoneticPr fontId="7" type="noConversion"/>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H44"/>
  <sheetViews>
    <sheetView showGridLines="0" zoomScale="80" zoomScaleNormal="80" zoomScaleSheetLayoutView="80" workbookViewId="0">
      <selection activeCell="A3" sqref="A3:C4"/>
    </sheetView>
  </sheetViews>
  <sheetFormatPr baseColWidth="10" defaultRowHeight="13.2" outlineLevelRow="1" x14ac:dyDescent="0.25"/>
  <cols>
    <col min="1" max="1" width="5.6640625" style="83" customWidth="1"/>
    <col min="2" max="2" width="5.6640625" customWidth="1"/>
    <col min="3" max="3" width="14.88671875" customWidth="1"/>
    <col min="4" max="4" width="11.6640625" customWidth="1"/>
    <col min="5" max="5" width="18.33203125" customWidth="1"/>
    <col min="6" max="6" width="27.33203125" bestFit="1" customWidth="1"/>
    <col min="7" max="7" width="15.6640625" customWidth="1"/>
    <col min="8" max="8" width="50.33203125" customWidth="1"/>
    <col min="9" max="9" width="17.33203125" customWidth="1"/>
  </cols>
  <sheetData>
    <row r="1" spans="2:8" ht="15" customHeight="1" x14ac:dyDescent="0.25"/>
    <row r="2" spans="2:8" ht="15" customHeight="1" x14ac:dyDescent="0.3">
      <c r="C2" s="28" t="s">
        <v>133</v>
      </c>
    </row>
    <row r="3" spans="2:8" s="83" customFormat="1" ht="15" customHeight="1" thickBot="1" x14ac:dyDescent="0.35">
      <c r="C3" s="85"/>
    </row>
    <row r="4" spans="2:8" ht="21.75" customHeight="1" thickBot="1" x14ac:dyDescent="0.3">
      <c r="C4" s="24" t="s">
        <v>83</v>
      </c>
      <c r="D4" s="25" t="s">
        <v>84</v>
      </c>
      <c r="E4" s="26" t="s">
        <v>85</v>
      </c>
      <c r="F4" s="25" t="s">
        <v>86</v>
      </c>
      <c r="G4" s="25" t="s">
        <v>14</v>
      </c>
      <c r="H4" s="25" t="s">
        <v>87</v>
      </c>
    </row>
    <row r="5" spans="2:8" ht="53.4" thickBot="1" x14ac:dyDescent="0.3">
      <c r="B5" s="693" t="s">
        <v>62</v>
      </c>
      <c r="C5" s="86" t="s">
        <v>2</v>
      </c>
      <c r="D5" s="36">
        <v>8</v>
      </c>
      <c r="E5" s="178" t="s">
        <v>374</v>
      </c>
      <c r="F5" s="387" t="str">
        <f>Filled_by_requestor!C22</f>
        <v>IPSL0110</v>
      </c>
      <c r="G5" s="175" t="s">
        <v>96</v>
      </c>
      <c r="H5" s="179" t="s">
        <v>101</v>
      </c>
    </row>
    <row r="6" spans="2:8" ht="53.4" thickBot="1" x14ac:dyDescent="0.3">
      <c r="B6" s="694"/>
      <c r="C6" s="176" t="s">
        <v>3</v>
      </c>
      <c r="D6" s="177">
        <v>8</v>
      </c>
      <c r="E6" s="178" t="s">
        <v>375</v>
      </c>
      <c r="F6" s="387" t="str">
        <f>Filled_by_requestor!H13</f>
        <v>TMOAKZ01</v>
      </c>
      <c r="G6" s="175" t="s">
        <v>96</v>
      </c>
      <c r="H6" s="30" t="s">
        <v>95</v>
      </c>
    </row>
    <row r="7" spans="2:8" ht="27" thickBot="1" x14ac:dyDescent="0.3">
      <c r="B7" s="694"/>
      <c r="C7" s="176" t="s">
        <v>4</v>
      </c>
      <c r="D7" s="177">
        <v>8</v>
      </c>
      <c r="E7" s="178" t="s">
        <v>10</v>
      </c>
      <c r="F7" s="394" t="s">
        <v>21</v>
      </c>
      <c r="G7" s="175" t="s">
        <v>96</v>
      </c>
      <c r="H7" s="93" t="s">
        <v>94</v>
      </c>
    </row>
    <row r="8" spans="2:8" ht="33" customHeight="1" thickBot="1" x14ac:dyDescent="0.3">
      <c r="B8" s="694"/>
      <c r="C8" s="176" t="s">
        <v>5</v>
      </c>
      <c r="D8" s="177">
        <v>4</v>
      </c>
      <c r="E8" s="178" t="s">
        <v>16</v>
      </c>
      <c r="F8" s="394" t="s">
        <v>27</v>
      </c>
      <c r="G8" s="175" t="s">
        <v>96</v>
      </c>
      <c r="H8" s="93" t="s">
        <v>164</v>
      </c>
    </row>
    <row r="9" spans="2:8" ht="24" customHeight="1" thickBot="1" x14ac:dyDescent="0.3">
      <c r="B9" s="694"/>
      <c r="C9" s="176" t="s">
        <v>6</v>
      </c>
      <c r="D9" s="177">
        <v>4</v>
      </c>
      <c r="E9" s="178" t="s">
        <v>17</v>
      </c>
      <c r="F9" s="394" t="s">
        <v>7</v>
      </c>
      <c r="G9" s="180" t="s">
        <v>97</v>
      </c>
      <c r="H9" s="93" t="s">
        <v>92</v>
      </c>
    </row>
    <row r="10" spans="2:8" ht="24" customHeight="1" thickBot="1" x14ac:dyDescent="0.3">
      <c r="B10" s="713"/>
      <c r="C10" s="181" t="s">
        <v>22</v>
      </c>
      <c r="D10" s="45">
        <v>14</v>
      </c>
      <c r="E10" s="159" t="s">
        <v>11</v>
      </c>
      <c r="F10" s="395" t="s">
        <v>42</v>
      </c>
      <c r="G10" s="182" t="s">
        <v>97</v>
      </c>
      <c r="H10" s="160" t="s">
        <v>93</v>
      </c>
    </row>
    <row r="11" spans="2:8" ht="28.5" customHeight="1" thickBot="1" x14ac:dyDescent="0.3">
      <c r="B11" s="696" t="s">
        <v>233</v>
      </c>
      <c r="C11" s="183" t="s">
        <v>35</v>
      </c>
      <c r="D11" s="47">
        <v>2</v>
      </c>
      <c r="E11" s="161" t="s">
        <v>28</v>
      </c>
      <c r="F11" s="388">
        <f>Filled_by_requestor!G22</f>
        <v>11</v>
      </c>
      <c r="G11" s="48" t="s">
        <v>97</v>
      </c>
      <c r="H11" s="184" t="s">
        <v>88</v>
      </c>
    </row>
    <row r="12" spans="2:8" ht="27" thickBot="1" x14ac:dyDescent="0.3">
      <c r="B12" s="697"/>
      <c r="C12" s="185" t="s">
        <v>36</v>
      </c>
      <c r="D12" s="49">
        <v>8</v>
      </c>
      <c r="E12" s="163" t="s">
        <v>29</v>
      </c>
      <c r="F12" s="389" t="str">
        <f>F5</f>
        <v>IPSL0110</v>
      </c>
      <c r="G12" s="50" t="s">
        <v>96</v>
      </c>
      <c r="H12" s="186" t="s">
        <v>129</v>
      </c>
    </row>
    <row r="13" spans="2:8" ht="27" thickBot="1" x14ac:dyDescent="0.3">
      <c r="B13" s="697"/>
      <c r="C13" s="185" t="s">
        <v>24</v>
      </c>
      <c r="D13" s="49">
        <v>8</v>
      </c>
      <c r="E13" s="163" t="s">
        <v>31</v>
      </c>
      <c r="F13" s="396" t="s">
        <v>21</v>
      </c>
      <c r="G13" s="50" t="s">
        <v>96</v>
      </c>
      <c r="H13" s="186" t="s">
        <v>94</v>
      </c>
    </row>
    <row r="14" spans="2:8" ht="27" thickBot="1" x14ac:dyDescent="0.3">
      <c r="B14" s="698"/>
      <c r="C14" s="187" t="s">
        <v>44</v>
      </c>
      <c r="D14" s="51">
        <v>18</v>
      </c>
      <c r="E14" s="165" t="s">
        <v>32</v>
      </c>
      <c r="F14" s="397" t="s">
        <v>63</v>
      </c>
      <c r="G14" s="52" t="s">
        <v>15</v>
      </c>
      <c r="H14" s="91" t="s">
        <v>128</v>
      </c>
    </row>
    <row r="15" spans="2:8" x14ac:dyDescent="0.25">
      <c r="C15" s="88"/>
      <c r="D15" s="88"/>
      <c r="E15" s="88"/>
      <c r="F15" s="88"/>
      <c r="G15" s="88"/>
      <c r="H15" s="90"/>
    </row>
    <row r="16" spans="2:8" ht="27.75" customHeight="1" x14ac:dyDescent="0.3">
      <c r="C16" s="150" t="s">
        <v>104</v>
      </c>
      <c r="D16" s="150"/>
      <c r="E16" s="150"/>
      <c r="F16" s="146"/>
      <c r="G16" s="146"/>
      <c r="H16" s="146"/>
    </row>
    <row r="17" spans="2:8" ht="6.75" customHeight="1" thickBot="1" x14ac:dyDescent="0.3">
      <c r="C17" s="146"/>
      <c r="D17" s="146"/>
      <c r="E17" s="146"/>
      <c r="F17" s="146"/>
      <c r="G17" s="146"/>
      <c r="H17" s="146"/>
    </row>
    <row r="18" spans="2:8" ht="16.2" thickBot="1" x14ac:dyDescent="0.3">
      <c r="C18" s="24" t="s">
        <v>83</v>
      </c>
      <c r="D18" s="25" t="s">
        <v>84</v>
      </c>
      <c r="E18" s="26" t="s">
        <v>85</v>
      </c>
      <c r="F18" s="25" t="s">
        <v>86</v>
      </c>
      <c r="G18" s="25" t="s">
        <v>14</v>
      </c>
      <c r="H18" s="25" t="s">
        <v>87</v>
      </c>
    </row>
    <row r="19" spans="2:8" ht="39" customHeight="1" thickBot="1" x14ac:dyDescent="0.3">
      <c r="B19" s="693" t="s">
        <v>62</v>
      </c>
      <c r="C19" s="86" t="s">
        <v>2</v>
      </c>
      <c r="D19" s="36">
        <v>8</v>
      </c>
      <c r="E19" s="178" t="s">
        <v>374</v>
      </c>
      <c r="F19" s="387" t="str">
        <f>F6</f>
        <v>TMOAKZ01</v>
      </c>
      <c r="G19" s="175" t="s">
        <v>96</v>
      </c>
      <c r="H19" s="30" t="s">
        <v>99</v>
      </c>
    </row>
    <row r="20" spans="2:8" ht="53.4" thickBot="1" x14ac:dyDescent="0.3">
      <c r="B20" s="694"/>
      <c r="C20" s="176" t="s">
        <v>3</v>
      </c>
      <c r="D20" s="177">
        <v>8</v>
      </c>
      <c r="E20" s="178" t="s">
        <v>375</v>
      </c>
      <c r="F20" s="387" t="str">
        <f>F5</f>
        <v>IPSL0110</v>
      </c>
      <c r="G20" s="175" t="s">
        <v>96</v>
      </c>
      <c r="H20" s="179" t="s">
        <v>100</v>
      </c>
    </row>
    <row r="21" spans="2:8" ht="27" thickBot="1" x14ac:dyDescent="0.3">
      <c r="B21" s="694"/>
      <c r="C21" s="176" t="s">
        <v>4</v>
      </c>
      <c r="D21" s="177">
        <v>8</v>
      </c>
      <c r="E21" s="178" t="s">
        <v>10</v>
      </c>
      <c r="F21" s="394" t="s">
        <v>26</v>
      </c>
      <c r="G21" s="175" t="s">
        <v>96</v>
      </c>
      <c r="H21" s="93" t="s">
        <v>94</v>
      </c>
    </row>
    <row r="22" spans="2:8" ht="27" thickBot="1" x14ac:dyDescent="0.3">
      <c r="B22" s="694"/>
      <c r="C22" s="176" t="s">
        <v>5</v>
      </c>
      <c r="D22" s="177">
        <v>4</v>
      </c>
      <c r="E22" s="178" t="s">
        <v>16</v>
      </c>
      <c r="F22" s="394" t="s">
        <v>27</v>
      </c>
      <c r="G22" s="175" t="s">
        <v>96</v>
      </c>
      <c r="H22" s="93" t="s">
        <v>162</v>
      </c>
    </row>
    <row r="23" spans="2:8" ht="22.5" customHeight="1" thickBot="1" x14ac:dyDescent="0.3">
      <c r="B23" s="694"/>
      <c r="C23" s="176" t="s">
        <v>6</v>
      </c>
      <c r="D23" s="177">
        <v>4</v>
      </c>
      <c r="E23" s="178" t="s">
        <v>17</v>
      </c>
      <c r="F23" s="394" t="s">
        <v>7</v>
      </c>
      <c r="G23" s="180" t="s">
        <v>97</v>
      </c>
      <c r="H23" s="93" t="s">
        <v>92</v>
      </c>
    </row>
    <row r="24" spans="2:8" ht="24" customHeight="1" thickBot="1" x14ac:dyDescent="0.3">
      <c r="B24" s="713"/>
      <c r="C24" s="181" t="s">
        <v>22</v>
      </c>
      <c r="D24" s="45">
        <v>14</v>
      </c>
      <c r="E24" s="159" t="s">
        <v>11</v>
      </c>
      <c r="F24" s="395" t="s">
        <v>42</v>
      </c>
      <c r="G24" s="182" t="s">
        <v>97</v>
      </c>
      <c r="H24" s="160" t="s">
        <v>93</v>
      </c>
    </row>
    <row r="25" spans="2:8" ht="27.75" customHeight="1" thickBot="1" x14ac:dyDescent="0.3">
      <c r="B25" s="696" t="s">
        <v>119</v>
      </c>
      <c r="C25" s="183" t="s">
        <v>35</v>
      </c>
      <c r="D25" s="47">
        <v>2</v>
      </c>
      <c r="E25" s="161" t="s">
        <v>28</v>
      </c>
      <c r="F25" s="388">
        <f>F11</f>
        <v>11</v>
      </c>
      <c r="G25" s="48" t="s">
        <v>97</v>
      </c>
      <c r="H25" s="184" t="s">
        <v>88</v>
      </c>
    </row>
    <row r="26" spans="2:8" ht="27" thickBot="1" x14ac:dyDescent="0.3">
      <c r="B26" s="697"/>
      <c r="C26" s="185" t="s">
        <v>36</v>
      </c>
      <c r="D26" s="49">
        <v>8</v>
      </c>
      <c r="E26" s="163" t="s">
        <v>29</v>
      </c>
      <c r="F26" s="389" t="str">
        <f>F20</f>
        <v>IPSL0110</v>
      </c>
      <c r="G26" s="50" t="s">
        <v>96</v>
      </c>
      <c r="H26" s="186" t="s">
        <v>129</v>
      </c>
    </row>
    <row r="27" spans="2:8" ht="27" thickBot="1" x14ac:dyDescent="0.3">
      <c r="B27" s="697"/>
      <c r="C27" s="185" t="s">
        <v>24</v>
      </c>
      <c r="D27" s="49">
        <v>8</v>
      </c>
      <c r="E27" s="163" t="s">
        <v>31</v>
      </c>
      <c r="F27" s="396" t="s">
        <v>21</v>
      </c>
      <c r="G27" s="50" t="s">
        <v>96</v>
      </c>
      <c r="H27" s="186" t="s">
        <v>94</v>
      </c>
    </row>
    <row r="28" spans="2:8" ht="40.200000000000003" thickBot="1" x14ac:dyDescent="0.3">
      <c r="B28" s="697"/>
      <c r="C28" s="187" t="s">
        <v>44</v>
      </c>
      <c r="D28" s="51">
        <v>18</v>
      </c>
      <c r="E28" s="165" t="s">
        <v>32</v>
      </c>
      <c r="F28" s="397" t="s">
        <v>63</v>
      </c>
      <c r="G28" s="50" t="s">
        <v>96</v>
      </c>
      <c r="H28" s="104" t="s">
        <v>238</v>
      </c>
    </row>
    <row r="29" spans="2:8" ht="16.2" thickBot="1" x14ac:dyDescent="0.3">
      <c r="B29" s="698"/>
      <c r="C29" s="188" t="s">
        <v>45</v>
      </c>
      <c r="D29" s="54">
        <v>4</v>
      </c>
      <c r="E29" s="166" t="s">
        <v>33</v>
      </c>
      <c r="F29" s="398" t="s">
        <v>39</v>
      </c>
      <c r="G29" s="55" t="s">
        <v>98</v>
      </c>
      <c r="H29" s="189" t="s">
        <v>40</v>
      </c>
    </row>
    <row r="30" spans="2:8" x14ac:dyDescent="0.25">
      <c r="C30" s="88"/>
      <c r="D30" s="88"/>
      <c r="E30" s="88"/>
      <c r="F30" s="88"/>
      <c r="G30" s="88"/>
      <c r="H30" s="88"/>
    </row>
    <row r="31" spans="2:8" ht="15" customHeight="1" x14ac:dyDescent="0.25">
      <c r="C31" s="84" t="s">
        <v>219</v>
      </c>
      <c r="D31" s="1"/>
      <c r="E31" s="1"/>
      <c r="F31" s="1"/>
      <c r="G31" s="1"/>
      <c r="H31" s="1"/>
    </row>
    <row r="32" spans="2:8" ht="12.75" hidden="1" customHeight="1" outlineLevel="1" x14ac:dyDescent="0.25">
      <c r="C32" s="715" t="s">
        <v>127</v>
      </c>
      <c r="D32" s="715"/>
      <c r="E32" s="715"/>
      <c r="F32" s="715"/>
      <c r="G32" s="715"/>
      <c r="H32" s="715"/>
    </row>
    <row r="33" spans="3:8" hidden="1" outlineLevel="1" x14ac:dyDescent="0.25">
      <c r="C33" s="715" t="s">
        <v>130</v>
      </c>
      <c r="D33" s="715"/>
      <c r="E33" s="715"/>
      <c r="F33" s="715"/>
      <c r="G33" s="715"/>
      <c r="H33" s="715"/>
    </row>
    <row r="34" spans="3:8" hidden="1" outlineLevel="1" x14ac:dyDescent="0.25">
      <c r="C34" s="716"/>
      <c r="D34" s="716"/>
      <c r="E34" s="716"/>
      <c r="F34" s="716"/>
      <c r="G34" s="716"/>
      <c r="H34" s="716"/>
    </row>
    <row r="35" spans="3:8" hidden="1" outlineLevel="1" x14ac:dyDescent="0.25">
      <c r="C35" s="715" t="s">
        <v>131</v>
      </c>
      <c r="D35" s="715"/>
      <c r="E35" s="715"/>
      <c r="F35" s="715"/>
      <c r="G35" s="715"/>
      <c r="H35" s="715"/>
    </row>
    <row r="36" spans="3:8" hidden="1" outlineLevel="1" x14ac:dyDescent="0.25">
      <c r="C36" s="715" t="s">
        <v>132</v>
      </c>
      <c r="D36" s="715"/>
      <c r="E36" s="715"/>
      <c r="F36" s="715"/>
      <c r="G36" s="715"/>
      <c r="H36" s="715"/>
    </row>
    <row r="37" spans="3:8" ht="15" collapsed="1" x14ac:dyDescent="0.25">
      <c r="C37" s="146"/>
      <c r="D37" s="146"/>
      <c r="E37" s="146"/>
      <c r="F37" s="146"/>
      <c r="G37" s="146"/>
      <c r="H37" s="146"/>
    </row>
    <row r="38" spans="3:8" ht="15" x14ac:dyDescent="0.25">
      <c r="C38" s="146"/>
      <c r="D38" s="146"/>
      <c r="E38" s="146"/>
      <c r="F38" s="146"/>
      <c r="G38" s="146"/>
      <c r="H38" s="146"/>
    </row>
    <row r="39" spans="3:8" ht="15" customHeight="1" x14ac:dyDescent="0.3">
      <c r="C39" s="151"/>
      <c r="D39" s="1"/>
      <c r="E39" s="1"/>
      <c r="F39" s="1"/>
      <c r="G39" s="1"/>
      <c r="H39" s="1"/>
    </row>
    <row r="40" spans="3:8" ht="15" x14ac:dyDescent="0.25">
      <c r="C40" s="714"/>
      <c r="D40" s="714"/>
      <c r="E40" s="714"/>
      <c r="F40" s="714"/>
      <c r="G40" s="714"/>
      <c r="H40" s="714"/>
    </row>
    <row r="41" spans="3:8" ht="15" x14ac:dyDescent="0.25">
      <c r="C41" s="714"/>
      <c r="D41" s="714"/>
      <c r="E41" s="714"/>
      <c r="F41" s="714"/>
      <c r="G41" s="714"/>
      <c r="H41" s="714"/>
    </row>
    <row r="42" spans="3:8" ht="15" x14ac:dyDescent="0.25">
      <c r="C42" s="2"/>
      <c r="D42" s="2"/>
      <c r="E42" s="2"/>
      <c r="F42" s="2"/>
      <c r="G42" s="2"/>
      <c r="H42" s="2"/>
    </row>
    <row r="43" spans="3:8" ht="15" x14ac:dyDescent="0.25">
      <c r="C43" s="2"/>
      <c r="D43" s="2"/>
      <c r="E43" s="2"/>
      <c r="F43" s="2"/>
      <c r="G43" s="2"/>
      <c r="H43" s="2"/>
    </row>
    <row r="44" spans="3:8" ht="15" x14ac:dyDescent="0.25">
      <c r="C44" s="2"/>
      <c r="D44" s="2"/>
      <c r="E44" s="2"/>
      <c r="F44" s="2"/>
      <c r="G44" s="2"/>
      <c r="H44" s="2"/>
    </row>
  </sheetData>
  <customSheetViews>
    <customSheetView guid="{2E70E708-B73C-4323-9253-4875EF82DB2B}" scale="85" showPageBreaks="1">
      <selection activeCell="G39" sqref="G39"/>
    </customSheetView>
  </customSheetViews>
  <mergeCells count="11">
    <mergeCell ref="B19:B24"/>
    <mergeCell ref="B25:B29"/>
    <mergeCell ref="B5:B10"/>
    <mergeCell ref="B11:B14"/>
    <mergeCell ref="C41:H41"/>
    <mergeCell ref="C32:H32"/>
    <mergeCell ref="C40:H40"/>
    <mergeCell ref="C33:H33"/>
    <mergeCell ref="C34:H34"/>
    <mergeCell ref="C35:H35"/>
    <mergeCell ref="C36:H36"/>
  </mergeCells>
  <phoneticPr fontId="7" type="noConversion"/>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dimension ref="B1:J21"/>
  <sheetViews>
    <sheetView showGridLines="0" zoomScale="80" zoomScaleNormal="80" zoomScaleSheetLayoutView="80" workbookViewId="0">
      <selection activeCell="F20" sqref="F20"/>
    </sheetView>
  </sheetViews>
  <sheetFormatPr baseColWidth="10" defaultRowHeight="13.2" x14ac:dyDescent="0.25"/>
  <cols>
    <col min="1" max="2" width="5.6640625" customWidth="1"/>
    <col min="3" max="3" width="12.6640625" bestFit="1" customWidth="1"/>
    <col min="4" max="4" width="10.44140625" bestFit="1" customWidth="1"/>
    <col min="5" max="5" width="17.88671875" bestFit="1" customWidth="1"/>
    <col min="6" max="6" width="27.33203125" bestFit="1" customWidth="1"/>
    <col min="7" max="7" width="17.109375" bestFit="1" customWidth="1"/>
    <col min="8" max="8" width="48" style="147" customWidth="1"/>
  </cols>
  <sheetData>
    <row r="1" spans="2:10" ht="15" customHeight="1" x14ac:dyDescent="0.25"/>
    <row r="2" spans="2:10" ht="21" x14ac:dyDescent="0.25">
      <c r="C2" s="154" t="s">
        <v>340</v>
      </c>
    </row>
    <row r="3" spans="2:10" ht="15" customHeight="1" thickBot="1" x14ac:dyDescent="0.3">
      <c r="B3" s="83"/>
      <c r="C3" s="83"/>
      <c r="D3" s="83"/>
      <c r="E3" s="83"/>
      <c r="F3" s="83"/>
      <c r="G3" s="83"/>
      <c r="I3" s="83"/>
      <c r="J3" s="83"/>
    </row>
    <row r="4" spans="2:10" ht="16.2" thickBot="1" x14ac:dyDescent="0.3">
      <c r="B4" s="83"/>
      <c r="C4" s="24" t="s">
        <v>83</v>
      </c>
      <c r="D4" s="25" t="s">
        <v>84</v>
      </c>
      <c r="E4" s="26" t="s">
        <v>85</v>
      </c>
      <c r="F4" s="25" t="s">
        <v>86</v>
      </c>
      <c r="G4" s="25" t="s">
        <v>14</v>
      </c>
      <c r="H4" s="25" t="s">
        <v>87</v>
      </c>
      <c r="I4" s="29"/>
      <c r="J4" s="88"/>
    </row>
    <row r="5" spans="2:10" ht="39" customHeight="1" thickBot="1" x14ac:dyDescent="0.3">
      <c r="B5" s="693" t="s">
        <v>62</v>
      </c>
      <c r="C5" s="86" t="s">
        <v>2</v>
      </c>
      <c r="D5" s="36">
        <v>8</v>
      </c>
      <c r="E5" s="178" t="s">
        <v>374</v>
      </c>
      <c r="F5" s="421" t="str">
        <f>Filled_by_requestor!H13</f>
        <v>TMOAKZ01</v>
      </c>
      <c r="G5" s="37" t="s">
        <v>15</v>
      </c>
      <c r="H5" s="38" t="s">
        <v>99</v>
      </c>
      <c r="I5" s="156"/>
      <c r="J5" s="88"/>
    </row>
    <row r="6" spans="2:10" ht="40.200000000000003" thickBot="1" x14ac:dyDescent="0.3">
      <c r="B6" s="694"/>
      <c r="C6" s="39" t="s">
        <v>3</v>
      </c>
      <c r="D6" s="40">
        <v>8</v>
      </c>
      <c r="E6" s="178" t="s">
        <v>375</v>
      </c>
      <c r="F6" s="421" t="str">
        <f>Filled_by_requestor!C22</f>
        <v>IPSL0110</v>
      </c>
      <c r="G6" s="41" t="s">
        <v>15</v>
      </c>
      <c r="H6" s="42" t="s">
        <v>319</v>
      </c>
      <c r="I6" s="29" t="s">
        <v>1</v>
      </c>
      <c r="J6" s="88"/>
    </row>
    <row r="7" spans="2:10" ht="27" thickBot="1" x14ac:dyDescent="0.3">
      <c r="B7" s="694"/>
      <c r="C7" s="87" t="s">
        <v>4</v>
      </c>
      <c r="D7" s="40">
        <v>8</v>
      </c>
      <c r="E7" s="157" t="s">
        <v>10</v>
      </c>
      <c r="F7" s="429" t="s">
        <v>135</v>
      </c>
      <c r="G7" s="41" t="s">
        <v>15</v>
      </c>
      <c r="H7" s="93" t="s">
        <v>342</v>
      </c>
      <c r="I7" s="29"/>
      <c r="J7" s="88"/>
    </row>
    <row r="8" spans="2:10" ht="27" thickBot="1" x14ac:dyDescent="0.3">
      <c r="B8" s="694"/>
      <c r="C8" s="87" t="s">
        <v>5</v>
      </c>
      <c r="D8" s="40">
        <v>4</v>
      </c>
      <c r="E8" s="157" t="s">
        <v>16</v>
      </c>
      <c r="F8" s="440" t="s">
        <v>77</v>
      </c>
      <c r="G8" s="41" t="s">
        <v>15</v>
      </c>
      <c r="H8" s="93" t="s">
        <v>341</v>
      </c>
      <c r="I8" s="81"/>
      <c r="J8" s="88"/>
    </row>
    <row r="9" spans="2:10" ht="16.2" thickBot="1" x14ac:dyDescent="0.3">
      <c r="B9" s="694"/>
      <c r="C9" s="92" t="s">
        <v>6</v>
      </c>
      <c r="D9" s="43">
        <v>4</v>
      </c>
      <c r="E9" s="158" t="s">
        <v>17</v>
      </c>
      <c r="F9" s="402" t="s">
        <v>7</v>
      </c>
      <c r="G9" s="44" t="s">
        <v>136</v>
      </c>
      <c r="H9" s="93" t="s">
        <v>92</v>
      </c>
      <c r="I9" s="29"/>
      <c r="J9" s="88"/>
    </row>
    <row r="10" spans="2:10" ht="13.5" customHeight="1" thickBot="1" x14ac:dyDescent="0.3">
      <c r="B10" s="713"/>
      <c r="C10" s="97" t="s">
        <v>22</v>
      </c>
      <c r="D10" s="45">
        <v>14</v>
      </c>
      <c r="E10" s="159" t="s">
        <v>11</v>
      </c>
      <c r="F10" s="395" t="s">
        <v>23</v>
      </c>
      <c r="G10" s="46" t="s">
        <v>136</v>
      </c>
      <c r="H10" s="160" t="s">
        <v>93</v>
      </c>
      <c r="I10" s="29"/>
      <c r="J10" s="88"/>
    </row>
    <row r="11" spans="2:10" ht="20.25" customHeight="1" thickBot="1" x14ac:dyDescent="0.3">
      <c r="B11" s="696" t="s">
        <v>157</v>
      </c>
      <c r="C11" s="98" t="s">
        <v>35</v>
      </c>
      <c r="D11" s="47">
        <v>2</v>
      </c>
      <c r="E11" s="161" t="s">
        <v>28</v>
      </c>
      <c r="F11" s="388">
        <f>Filled_by_requestor!G22</f>
        <v>11</v>
      </c>
      <c r="G11" s="48" t="s">
        <v>136</v>
      </c>
      <c r="H11" s="162" t="s">
        <v>88</v>
      </c>
      <c r="I11" s="705" t="s">
        <v>149</v>
      </c>
      <c r="J11" s="707" t="s">
        <v>151</v>
      </c>
    </row>
    <row r="12" spans="2:10" ht="27" thickBot="1" x14ac:dyDescent="0.3">
      <c r="B12" s="697"/>
      <c r="C12" s="99" t="s">
        <v>36</v>
      </c>
      <c r="D12" s="49">
        <v>8</v>
      </c>
      <c r="E12" s="163" t="s">
        <v>29</v>
      </c>
      <c r="F12" s="389" t="str">
        <f>F5</f>
        <v>TMOAKZ01</v>
      </c>
      <c r="G12" s="50" t="s">
        <v>15</v>
      </c>
      <c r="H12" s="164" t="s">
        <v>30</v>
      </c>
      <c r="I12" s="706"/>
      <c r="J12" s="708"/>
    </row>
    <row r="13" spans="2:10" ht="26.25" customHeight="1" thickBot="1" x14ac:dyDescent="0.3">
      <c r="B13" s="697"/>
      <c r="C13" s="99" t="s">
        <v>24</v>
      </c>
      <c r="D13" s="49">
        <v>8</v>
      </c>
      <c r="E13" s="163" t="s">
        <v>31</v>
      </c>
      <c r="F13" s="396" t="s">
        <v>135</v>
      </c>
      <c r="G13" s="50" t="s">
        <v>15</v>
      </c>
      <c r="H13" s="164" t="s">
        <v>107</v>
      </c>
      <c r="I13" s="706"/>
      <c r="J13" s="708"/>
    </row>
    <row r="14" spans="2:10" ht="39" customHeight="1" thickBot="1" x14ac:dyDescent="0.3">
      <c r="B14" s="697"/>
      <c r="C14" s="100" t="s">
        <v>44</v>
      </c>
      <c r="D14" s="51">
        <v>18</v>
      </c>
      <c r="E14" s="165" t="s">
        <v>32</v>
      </c>
      <c r="F14" s="621" t="s">
        <v>517</v>
      </c>
      <c r="G14" s="52" t="s">
        <v>15</v>
      </c>
      <c r="H14" s="622" t="s">
        <v>518</v>
      </c>
      <c r="I14" s="53" t="s">
        <v>150</v>
      </c>
      <c r="J14" s="709"/>
    </row>
    <row r="15" spans="2:10" ht="16.2" thickBot="1" x14ac:dyDescent="0.3">
      <c r="B15" s="698"/>
      <c r="C15" s="101" t="s">
        <v>45</v>
      </c>
      <c r="D15" s="54">
        <v>4</v>
      </c>
      <c r="E15" s="166" t="s">
        <v>33</v>
      </c>
      <c r="F15" s="398" t="s">
        <v>37</v>
      </c>
      <c r="G15" s="55" t="s">
        <v>138</v>
      </c>
      <c r="H15" s="56" t="s">
        <v>65</v>
      </c>
      <c r="I15" s="717" t="s">
        <v>152</v>
      </c>
      <c r="J15" s="718"/>
    </row>
    <row r="16" spans="2:10" ht="36" customHeight="1" thickBot="1" x14ac:dyDescent="0.3">
      <c r="B16" s="699" t="s">
        <v>156</v>
      </c>
      <c r="C16" s="57" t="s">
        <v>195</v>
      </c>
      <c r="D16" s="58">
        <v>8</v>
      </c>
      <c r="E16" s="167" t="s">
        <v>70</v>
      </c>
      <c r="F16" s="439" t="s">
        <v>333</v>
      </c>
      <c r="G16" s="59" t="s">
        <v>15</v>
      </c>
      <c r="H16" s="60" t="s">
        <v>160</v>
      </c>
      <c r="I16" s="18"/>
      <c r="J16" s="19"/>
    </row>
    <row r="17" spans="2:10" ht="36" customHeight="1" thickBot="1" x14ac:dyDescent="0.3">
      <c r="B17" s="700"/>
      <c r="C17" s="57" t="s">
        <v>196</v>
      </c>
      <c r="D17" s="61">
        <v>12</v>
      </c>
      <c r="E17" s="168" t="s">
        <v>12</v>
      </c>
      <c r="F17" s="430" t="s">
        <v>74</v>
      </c>
      <c r="G17" s="62" t="s">
        <v>15</v>
      </c>
      <c r="H17" s="33" t="s">
        <v>158</v>
      </c>
      <c r="I17" s="7"/>
      <c r="J17" s="88"/>
    </row>
    <row r="18" spans="2:10" ht="36" customHeight="1" thickBot="1" x14ac:dyDescent="0.3">
      <c r="B18" s="700"/>
      <c r="C18" s="57" t="s">
        <v>197</v>
      </c>
      <c r="D18" s="63">
        <v>2</v>
      </c>
      <c r="E18" s="169" t="s">
        <v>13</v>
      </c>
      <c r="F18" s="428" t="str">
        <f>Filled_by_requestor!K22</f>
        <v>OR</v>
      </c>
      <c r="G18" s="64" t="s">
        <v>15</v>
      </c>
      <c r="H18" s="65" t="s">
        <v>69</v>
      </c>
      <c r="I18" s="81"/>
      <c r="J18" s="19"/>
    </row>
    <row r="19" spans="2:10" ht="27" thickBot="1" x14ac:dyDescent="0.3">
      <c r="B19" s="702" t="s">
        <v>155</v>
      </c>
      <c r="C19" s="66" t="s">
        <v>345</v>
      </c>
      <c r="D19" s="256">
        <v>18</v>
      </c>
      <c r="E19" s="67" t="s">
        <v>335</v>
      </c>
      <c r="F19" s="431" t="s">
        <v>338</v>
      </c>
      <c r="G19" s="68" t="s">
        <v>15</v>
      </c>
      <c r="H19" s="69" t="s">
        <v>337</v>
      </c>
    </row>
    <row r="20" spans="2:10" ht="27" thickBot="1" x14ac:dyDescent="0.3">
      <c r="B20" s="703"/>
      <c r="C20" s="70" t="s">
        <v>346</v>
      </c>
      <c r="D20" s="257">
        <v>4</v>
      </c>
      <c r="E20" s="71" t="s">
        <v>334</v>
      </c>
      <c r="F20" s="432" t="s">
        <v>39</v>
      </c>
      <c r="G20" s="72" t="s">
        <v>15</v>
      </c>
      <c r="H20" s="73" t="s">
        <v>336</v>
      </c>
    </row>
    <row r="21" spans="2:10" ht="41.25" customHeight="1" thickBot="1" x14ac:dyDescent="0.3">
      <c r="B21" s="704"/>
      <c r="C21" s="70" t="s">
        <v>347</v>
      </c>
      <c r="D21" s="257"/>
      <c r="E21" s="71"/>
      <c r="F21" s="432"/>
      <c r="G21" s="72"/>
      <c r="H21" s="73"/>
    </row>
  </sheetData>
  <mergeCells count="7">
    <mergeCell ref="J11:J14"/>
    <mergeCell ref="I15:J15"/>
    <mergeCell ref="B19:B21"/>
    <mergeCell ref="B5:B10"/>
    <mergeCell ref="B11:B15"/>
    <mergeCell ref="B16:B18"/>
    <mergeCell ref="I11:I13"/>
  </mergeCells>
  <pageMargins left="0.70866141732283472" right="0.70866141732283472" top="0.78740157480314965" bottom="0.78740157480314965" header="0.31496062992125984" footer="0.31496062992125984"/>
  <pageSetup paperSize="9" scale="61" orientation="portrait" horizontalDpi="300" verticalDpi="300"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dimension ref="B1:J42"/>
  <sheetViews>
    <sheetView showGridLines="0" tabSelected="1" zoomScale="90" zoomScaleNormal="90" zoomScaleSheetLayoutView="80" workbookViewId="0">
      <selection activeCell="A14" sqref="A14:XFD14"/>
    </sheetView>
  </sheetViews>
  <sheetFormatPr baseColWidth="10" defaultRowHeight="13.2" x14ac:dyDescent="0.25"/>
  <cols>
    <col min="1" max="2" width="5.6640625" customWidth="1"/>
    <col min="3" max="3" width="16.33203125" customWidth="1"/>
    <col min="4" max="4" width="13" customWidth="1"/>
    <col min="5" max="5" width="19.6640625" bestFit="1" customWidth="1"/>
    <col min="6" max="6" width="27.6640625" customWidth="1"/>
    <col min="7" max="7" width="15" customWidth="1"/>
    <col min="8" max="8" width="51.6640625" customWidth="1"/>
    <col min="9" max="9" width="12.33203125" style="34" customWidth="1"/>
    <col min="10" max="10" width="20.109375" customWidth="1"/>
  </cols>
  <sheetData>
    <row r="1" spans="2:10" ht="15.75" customHeight="1" x14ac:dyDescent="0.25"/>
    <row r="2" spans="2:10" ht="15.75" customHeight="1" x14ac:dyDescent="0.4">
      <c r="C2" s="95" t="s">
        <v>339</v>
      </c>
      <c r="D2" s="15"/>
      <c r="E2" s="15"/>
      <c r="F2" s="15"/>
      <c r="G2" s="15"/>
      <c r="H2" s="15"/>
    </row>
    <row r="3" spans="2:10" s="83" customFormat="1" ht="15.75" customHeight="1" thickBot="1" x14ac:dyDescent="0.45">
      <c r="B3" s="95"/>
      <c r="C3" s="96"/>
      <c r="D3" s="96"/>
      <c r="E3" s="96"/>
      <c r="F3" s="96"/>
      <c r="G3" s="96"/>
      <c r="H3" s="96"/>
      <c r="I3" s="147"/>
    </row>
    <row r="4" spans="2:10" ht="32.25" customHeight="1" thickBot="1" x14ac:dyDescent="0.3">
      <c r="C4" s="24" t="s">
        <v>83</v>
      </c>
      <c r="D4" s="25" t="s">
        <v>84</v>
      </c>
      <c r="E4" s="26" t="s">
        <v>85</v>
      </c>
      <c r="F4" s="25" t="s">
        <v>86</v>
      </c>
      <c r="G4" s="25" t="s">
        <v>14</v>
      </c>
      <c r="H4" s="25" t="s">
        <v>87</v>
      </c>
    </row>
    <row r="5" spans="2:10" ht="27" thickBot="1" x14ac:dyDescent="0.3">
      <c r="B5" s="693" t="s">
        <v>62</v>
      </c>
      <c r="C5" s="86" t="s">
        <v>2</v>
      </c>
      <c r="D5" s="36">
        <v>8</v>
      </c>
      <c r="E5" s="178" t="s">
        <v>374</v>
      </c>
      <c r="F5" s="421" t="str">
        <f>Filled_by_requestor!H13</f>
        <v>TMOAKZ01</v>
      </c>
      <c r="G5" s="37" t="s">
        <v>15</v>
      </c>
      <c r="H5" s="38" t="s">
        <v>99</v>
      </c>
      <c r="I5" s="6"/>
    </row>
    <row r="6" spans="2:10" ht="59.25" customHeight="1" thickBot="1" x14ac:dyDescent="0.3">
      <c r="B6" s="694"/>
      <c r="C6" s="39" t="s">
        <v>3</v>
      </c>
      <c r="D6" s="40">
        <v>8</v>
      </c>
      <c r="E6" s="178" t="s">
        <v>375</v>
      </c>
      <c r="F6" s="421" t="str">
        <f>Filled_by_requestor!C22</f>
        <v>IPSL0110</v>
      </c>
      <c r="G6" s="41" t="s">
        <v>15</v>
      </c>
      <c r="H6" s="42" t="s">
        <v>319</v>
      </c>
      <c r="I6" s="34" t="s">
        <v>1</v>
      </c>
    </row>
    <row r="7" spans="2:10" ht="56.25" customHeight="1" thickBot="1" x14ac:dyDescent="0.3">
      <c r="B7" s="694"/>
      <c r="C7" s="87" t="s">
        <v>4</v>
      </c>
      <c r="D7" s="40">
        <v>8</v>
      </c>
      <c r="E7" s="157" t="s">
        <v>10</v>
      </c>
      <c r="F7" s="429" t="s">
        <v>135</v>
      </c>
      <c r="G7" s="41" t="s">
        <v>15</v>
      </c>
      <c r="H7" s="93" t="s">
        <v>343</v>
      </c>
    </row>
    <row r="8" spans="2:10" ht="42" customHeight="1" thickBot="1" x14ac:dyDescent="0.3">
      <c r="B8" s="694"/>
      <c r="C8" s="87" t="s">
        <v>5</v>
      </c>
      <c r="D8" s="40">
        <v>4</v>
      </c>
      <c r="E8" s="157" t="s">
        <v>16</v>
      </c>
      <c r="F8" s="423" t="s">
        <v>27</v>
      </c>
      <c r="G8" s="41" t="s">
        <v>15</v>
      </c>
      <c r="H8" s="93" t="s">
        <v>148</v>
      </c>
      <c r="I8" s="81"/>
    </row>
    <row r="9" spans="2:10" ht="26.25" customHeight="1" thickBot="1" x14ac:dyDescent="0.3">
      <c r="B9" s="694"/>
      <c r="C9" s="92" t="s">
        <v>6</v>
      </c>
      <c r="D9" s="43">
        <v>4</v>
      </c>
      <c r="E9" s="158" t="s">
        <v>17</v>
      </c>
      <c r="F9" s="402" t="s">
        <v>528</v>
      </c>
      <c r="G9" s="44" t="s">
        <v>136</v>
      </c>
      <c r="H9" s="93" t="s">
        <v>92</v>
      </c>
    </row>
    <row r="10" spans="2:10" ht="26.25" customHeight="1" thickBot="1" x14ac:dyDescent="0.3">
      <c r="B10" s="713"/>
      <c r="C10" s="97" t="s">
        <v>22</v>
      </c>
      <c r="D10" s="45">
        <v>14</v>
      </c>
      <c r="E10" s="159" t="s">
        <v>11</v>
      </c>
      <c r="F10" s="395" t="s">
        <v>23</v>
      </c>
      <c r="G10" s="46" t="s">
        <v>136</v>
      </c>
      <c r="H10" s="160" t="s">
        <v>93</v>
      </c>
    </row>
    <row r="11" spans="2:10" ht="26.25" customHeight="1" thickBot="1" x14ac:dyDescent="0.3">
      <c r="B11" s="696" t="s">
        <v>157</v>
      </c>
      <c r="C11" s="98" t="s">
        <v>35</v>
      </c>
      <c r="D11" s="47">
        <v>2</v>
      </c>
      <c r="E11" s="161" t="s">
        <v>28</v>
      </c>
      <c r="F11" s="388">
        <f>Filled_by_requestor!G22</f>
        <v>11</v>
      </c>
      <c r="G11" s="48" t="s">
        <v>136</v>
      </c>
      <c r="H11" s="162" t="s">
        <v>88</v>
      </c>
      <c r="I11" s="705" t="s">
        <v>149</v>
      </c>
      <c r="J11" s="707" t="s">
        <v>151</v>
      </c>
    </row>
    <row r="12" spans="2:10" ht="26.25" customHeight="1" thickBot="1" x14ac:dyDescent="0.3">
      <c r="B12" s="697"/>
      <c r="C12" s="99" t="s">
        <v>36</v>
      </c>
      <c r="D12" s="49">
        <v>8</v>
      </c>
      <c r="E12" s="163" t="s">
        <v>29</v>
      </c>
      <c r="F12" s="389" t="str">
        <f>F5</f>
        <v>TMOAKZ01</v>
      </c>
      <c r="G12" s="50" t="s">
        <v>15</v>
      </c>
      <c r="H12" s="164" t="s">
        <v>30</v>
      </c>
      <c r="I12" s="706"/>
      <c r="J12" s="708"/>
    </row>
    <row r="13" spans="2:10" ht="26.25" customHeight="1" thickBot="1" x14ac:dyDescent="0.3">
      <c r="B13" s="697"/>
      <c r="C13" s="99" t="s">
        <v>24</v>
      </c>
      <c r="D13" s="49">
        <v>8</v>
      </c>
      <c r="E13" s="163" t="s">
        <v>31</v>
      </c>
      <c r="F13" s="396" t="s">
        <v>135</v>
      </c>
      <c r="G13" s="50" t="s">
        <v>15</v>
      </c>
      <c r="H13" s="164" t="s">
        <v>107</v>
      </c>
      <c r="I13" s="706"/>
      <c r="J13" s="708"/>
    </row>
    <row r="14" spans="2:10" ht="27" thickBot="1" x14ac:dyDescent="0.3">
      <c r="B14" s="697"/>
      <c r="C14" s="100" t="s">
        <v>44</v>
      </c>
      <c r="D14" s="51">
        <v>18</v>
      </c>
      <c r="E14" s="165" t="s">
        <v>32</v>
      </c>
      <c r="F14" s="621" t="s">
        <v>517</v>
      </c>
      <c r="G14" s="52" t="s">
        <v>15</v>
      </c>
      <c r="H14" s="622" t="s">
        <v>518</v>
      </c>
      <c r="I14" s="53" t="s">
        <v>150</v>
      </c>
      <c r="J14" s="709"/>
    </row>
    <row r="15" spans="2:10" ht="26.25" customHeight="1" thickBot="1" x14ac:dyDescent="0.3">
      <c r="B15" s="698"/>
      <c r="C15" s="101" t="s">
        <v>45</v>
      </c>
      <c r="D15" s="54">
        <v>4</v>
      </c>
      <c r="E15" s="166" t="s">
        <v>33</v>
      </c>
      <c r="F15" s="398" t="s">
        <v>37</v>
      </c>
      <c r="G15" s="55" t="s">
        <v>138</v>
      </c>
      <c r="H15" s="56" t="s">
        <v>65</v>
      </c>
      <c r="I15" s="717" t="s">
        <v>152</v>
      </c>
      <c r="J15" s="718"/>
    </row>
    <row r="16" spans="2:10" ht="26.25" customHeight="1" thickBot="1" x14ac:dyDescent="0.3">
      <c r="B16" s="699" t="s">
        <v>156</v>
      </c>
      <c r="C16" s="57" t="s">
        <v>195</v>
      </c>
      <c r="D16" s="58">
        <v>8</v>
      </c>
      <c r="E16" s="167" t="s">
        <v>70</v>
      </c>
      <c r="F16" s="439" t="s">
        <v>139</v>
      </c>
      <c r="G16" s="59" t="s">
        <v>15</v>
      </c>
      <c r="H16" s="60" t="s">
        <v>160</v>
      </c>
      <c r="I16" s="18"/>
      <c r="J16" s="19"/>
    </row>
    <row r="17" spans="2:10" ht="37.5" customHeight="1" thickBot="1" x14ac:dyDescent="0.3">
      <c r="B17" s="700"/>
      <c r="C17" s="57" t="s">
        <v>196</v>
      </c>
      <c r="D17" s="61">
        <v>12</v>
      </c>
      <c r="E17" s="168" t="s">
        <v>12</v>
      </c>
      <c r="F17" s="430" t="s">
        <v>74</v>
      </c>
      <c r="G17" s="62" t="s">
        <v>15</v>
      </c>
      <c r="H17" s="33" t="s">
        <v>158</v>
      </c>
      <c r="I17" s="7"/>
    </row>
    <row r="18" spans="2:10" ht="33" customHeight="1" thickBot="1" x14ac:dyDescent="0.3">
      <c r="B18" s="700"/>
      <c r="C18" s="57" t="s">
        <v>197</v>
      </c>
      <c r="D18" s="63">
        <v>2</v>
      </c>
      <c r="E18" s="169" t="s">
        <v>13</v>
      </c>
      <c r="F18" s="428" t="str">
        <f>Filled_by_requestor!K22</f>
        <v>OR</v>
      </c>
      <c r="G18" s="64" t="s">
        <v>15</v>
      </c>
      <c r="H18" s="65" t="s">
        <v>69</v>
      </c>
      <c r="I18" s="81"/>
      <c r="J18" s="19"/>
    </row>
    <row r="19" spans="2:10" ht="26.25" customHeight="1" thickBot="1" x14ac:dyDescent="0.3">
      <c r="B19" s="702" t="s">
        <v>155</v>
      </c>
      <c r="C19" s="66" t="s">
        <v>217</v>
      </c>
      <c r="D19" s="256">
        <v>8</v>
      </c>
      <c r="E19" s="67" t="s">
        <v>140</v>
      </c>
      <c r="F19" s="431" t="s">
        <v>141</v>
      </c>
      <c r="G19" s="68" t="s">
        <v>15</v>
      </c>
      <c r="H19" s="69" t="s">
        <v>234</v>
      </c>
    </row>
    <row r="20" spans="2:10" ht="26.25" customHeight="1" thickBot="1" x14ac:dyDescent="0.3">
      <c r="B20" s="703"/>
      <c r="C20" s="70" t="s">
        <v>218</v>
      </c>
      <c r="D20" s="257">
        <v>6</v>
      </c>
      <c r="E20" s="71" t="s">
        <v>142</v>
      </c>
      <c r="F20" s="432" t="s">
        <v>143</v>
      </c>
      <c r="G20" s="72" t="s">
        <v>15</v>
      </c>
      <c r="H20" s="73" t="s">
        <v>235</v>
      </c>
    </row>
    <row r="21" spans="2:10" ht="26.25" customHeight="1" thickBot="1" x14ac:dyDescent="0.3">
      <c r="B21" s="703"/>
      <c r="C21" s="485" t="s">
        <v>498</v>
      </c>
      <c r="D21" s="486">
        <v>10</v>
      </c>
      <c r="E21" s="487" t="s">
        <v>144</v>
      </c>
      <c r="F21" s="488" t="s">
        <v>499</v>
      </c>
      <c r="G21" s="72" t="s">
        <v>15</v>
      </c>
      <c r="H21" s="73" t="s">
        <v>236</v>
      </c>
    </row>
    <row r="22" spans="2:10" ht="26.25" customHeight="1" thickBot="1" x14ac:dyDescent="0.3">
      <c r="B22" s="703"/>
      <c r="C22" s="485" t="s">
        <v>500</v>
      </c>
      <c r="D22" s="257">
        <v>6</v>
      </c>
      <c r="E22" s="71" t="s">
        <v>145</v>
      </c>
      <c r="F22" s="432" t="s">
        <v>146</v>
      </c>
      <c r="G22" s="72" t="s">
        <v>15</v>
      </c>
      <c r="H22" s="73" t="s">
        <v>237</v>
      </c>
    </row>
    <row r="23" spans="2:10" ht="26.25" customHeight="1" thickBot="1" x14ac:dyDescent="0.3">
      <c r="B23" s="704"/>
      <c r="C23" s="489" t="s">
        <v>501</v>
      </c>
      <c r="D23" s="490">
        <v>48</v>
      </c>
      <c r="E23" s="74"/>
      <c r="F23" s="433"/>
      <c r="G23" s="75" t="s">
        <v>15</v>
      </c>
      <c r="H23" s="76"/>
    </row>
    <row r="24" spans="2:10" x14ac:dyDescent="0.25">
      <c r="B24" s="77"/>
      <c r="C24" s="78"/>
      <c r="D24" s="88"/>
      <c r="E24" s="88"/>
      <c r="F24" s="88"/>
      <c r="G24" s="88"/>
      <c r="H24" s="88"/>
    </row>
    <row r="25" spans="2:10" ht="15" x14ac:dyDescent="0.25">
      <c r="C25" s="152"/>
      <c r="D25" s="152"/>
      <c r="E25" s="152"/>
      <c r="F25" s="152"/>
      <c r="G25" s="152"/>
      <c r="H25" s="152"/>
    </row>
    <row r="26" spans="2:10" ht="17.399999999999999" x14ac:dyDescent="0.3">
      <c r="B26" s="35" t="s">
        <v>104</v>
      </c>
      <c r="C26" s="150"/>
      <c r="D26" s="150"/>
      <c r="E26" s="150"/>
      <c r="F26" s="150"/>
      <c r="G26" s="88"/>
      <c r="H26" s="88"/>
      <c r="I26"/>
    </row>
    <row r="27" spans="2:10" s="9" customFormat="1" ht="13.8" thickBot="1" x14ac:dyDescent="0.3">
      <c r="C27" s="10"/>
      <c r="D27" s="11"/>
      <c r="E27" s="12"/>
      <c r="F27" s="11"/>
      <c r="G27" s="13"/>
      <c r="H27" s="10"/>
      <c r="I27" s="14"/>
      <c r="J27"/>
    </row>
    <row r="28" spans="2:10" s="9" customFormat="1" ht="16.2" thickBot="1" x14ac:dyDescent="0.3">
      <c r="C28" s="24" t="s">
        <v>83</v>
      </c>
      <c r="D28" s="25" t="s">
        <v>84</v>
      </c>
      <c r="E28" s="26" t="s">
        <v>85</v>
      </c>
      <c r="F28" s="25" t="s">
        <v>86</v>
      </c>
      <c r="G28" s="25" t="s">
        <v>14</v>
      </c>
      <c r="H28" s="25" t="s">
        <v>87</v>
      </c>
      <c r="I28" s="14"/>
      <c r="J28"/>
    </row>
    <row r="29" spans="2:10" s="9" customFormat="1" ht="53.4" thickBot="1" x14ac:dyDescent="0.3">
      <c r="B29" s="693" t="s">
        <v>62</v>
      </c>
      <c r="C29" s="86" t="s">
        <v>2</v>
      </c>
      <c r="D29" s="36">
        <v>8</v>
      </c>
      <c r="E29" s="155" t="s">
        <v>75</v>
      </c>
      <c r="F29" s="421" t="str">
        <f>F6</f>
        <v>IPSL0110</v>
      </c>
      <c r="G29" s="37" t="s">
        <v>15</v>
      </c>
      <c r="H29" s="179" t="s">
        <v>101</v>
      </c>
      <c r="I29" s="14"/>
      <c r="J29"/>
    </row>
    <row r="30" spans="2:10" s="9" customFormat="1" ht="53.4" thickBot="1" x14ac:dyDescent="0.3">
      <c r="B30" s="694"/>
      <c r="C30" s="39" t="s">
        <v>3</v>
      </c>
      <c r="D30" s="40">
        <v>8</v>
      </c>
      <c r="E30" s="157" t="s">
        <v>76</v>
      </c>
      <c r="F30" s="421" t="str">
        <f>F5</f>
        <v>TMOAKZ01</v>
      </c>
      <c r="G30" s="41" t="s">
        <v>15</v>
      </c>
      <c r="H30" s="30" t="s">
        <v>159</v>
      </c>
      <c r="I30" s="14"/>
      <c r="J30"/>
    </row>
    <row r="31" spans="2:10" s="9" customFormat="1" ht="27" thickBot="1" x14ac:dyDescent="0.3">
      <c r="B31" s="694"/>
      <c r="C31" s="87" t="s">
        <v>4</v>
      </c>
      <c r="D31" s="40">
        <v>8</v>
      </c>
      <c r="E31" s="157" t="s">
        <v>10</v>
      </c>
      <c r="F31" s="423" t="s">
        <v>147</v>
      </c>
      <c r="G31" s="41" t="s">
        <v>15</v>
      </c>
      <c r="H31" s="93" t="s">
        <v>94</v>
      </c>
      <c r="I31" s="14"/>
      <c r="J31"/>
    </row>
    <row r="32" spans="2:10" s="9" customFormat="1" ht="27" thickBot="1" x14ac:dyDescent="0.3">
      <c r="B32" s="694"/>
      <c r="C32" s="87" t="s">
        <v>5</v>
      </c>
      <c r="D32" s="40">
        <v>4</v>
      </c>
      <c r="E32" s="157" t="s">
        <v>16</v>
      </c>
      <c r="F32" s="423" t="s">
        <v>27</v>
      </c>
      <c r="G32" s="41" t="s">
        <v>15</v>
      </c>
      <c r="H32" s="42" t="s">
        <v>162</v>
      </c>
      <c r="I32" s="14"/>
      <c r="J32"/>
    </row>
    <row r="33" spans="2:10" s="9" customFormat="1" ht="20.25" customHeight="1" thickBot="1" x14ac:dyDescent="0.3">
      <c r="B33" s="694"/>
      <c r="C33" s="92" t="s">
        <v>6</v>
      </c>
      <c r="D33" s="40">
        <v>4</v>
      </c>
      <c r="E33" s="157" t="s">
        <v>17</v>
      </c>
      <c r="F33" s="423" t="s">
        <v>7</v>
      </c>
      <c r="G33" s="79" t="s">
        <v>136</v>
      </c>
      <c r="H33" s="93" t="s">
        <v>163</v>
      </c>
      <c r="I33" s="14"/>
      <c r="J33"/>
    </row>
    <row r="34" spans="2:10" s="9" customFormat="1" ht="20.25" customHeight="1" thickBot="1" x14ac:dyDescent="0.3">
      <c r="B34" s="713"/>
      <c r="C34" s="97" t="s">
        <v>22</v>
      </c>
      <c r="D34" s="45">
        <v>14</v>
      </c>
      <c r="E34" s="159" t="s">
        <v>11</v>
      </c>
      <c r="F34" s="395" t="s">
        <v>23</v>
      </c>
      <c r="G34" s="46" t="s">
        <v>136</v>
      </c>
      <c r="H34" s="160" t="s">
        <v>93</v>
      </c>
      <c r="I34" s="14"/>
      <c r="J34"/>
    </row>
    <row r="35" spans="2:10" s="9" customFormat="1" ht="16.8" thickBot="1" x14ac:dyDescent="0.3">
      <c r="B35" s="696" t="s">
        <v>137</v>
      </c>
      <c r="C35" s="98" t="s">
        <v>35</v>
      </c>
      <c r="D35" s="47">
        <v>2</v>
      </c>
      <c r="E35" s="161" t="s">
        <v>28</v>
      </c>
      <c r="F35" s="388">
        <f>F11</f>
        <v>11</v>
      </c>
      <c r="G35" s="48" t="s">
        <v>136</v>
      </c>
      <c r="H35" s="184" t="s">
        <v>88</v>
      </c>
      <c r="I35" s="14"/>
      <c r="J35"/>
    </row>
    <row r="36" spans="2:10" s="9" customFormat="1" ht="27" thickBot="1" x14ac:dyDescent="0.3">
      <c r="B36" s="697"/>
      <c r="C36" s="99" t="s">
        <v>36</v>
      </c>
      <c r="D36" s="49">
        <v>8</v>
      </c>
      <c r="E36" s="163" t="s">
        <v>29</v>
      </c>
      <c r="F36" s="389" t="str">
        <f>F30</f>
        <v>TMOAKZ01</v>
      </c>
      <c r="G36" s="50" t="s">
        <v>15</v>
      </c>
      <c r="H36" s="186" t="s">
        <v>30</v>
      </c>
      <c r="I36" s="14"/>
      <c r="J36"/>
    </row>
    <row r="37" spans="2:10" s="9" customFormat="1" ht="27" thickBot="1" x14ac:dyDescent="0.3">
      <c r="B37" s="697"/>
      <c r="C37" s="99" t="s">
        <v>24</v>
      </c>
      <c r="D37" s="49">
        <v>8</v>
      </c>
      <c r="E37" s="163" t="s">
        <v>31</v>
      </c>
      <c r="F37" s="396" t="s">
        <v>135</v>
      </c>
      <c r="G37" s="50" t="s">
        <v>15</v>
      </c>
      <c r="H37" s="186" t="s">
        <v>94</v>
      </c>
      <c r="I37" s="14"/>
    </row>
    <row r="38" spans="2:10" s="9" customFormat="1" ht="27" thickBot="1" x14ac:dyDescent="0.3">
      <c r="B38" s="697"/>
      <c r="C38" s="100" t="s">
        <v>44</v>
      </c>
      <c r="D38" s="51">
        <v>18</v>
      </c>
      <c r="E38" s="165" t="s">
        <v>32</v>
      </c>
      <c r="F38" s="397" t="s">
        <v>352</v>
      </c>
      <c r="G38" s="52" t="s">
        <v>15</v>
      </c>
      <c r="H38" s="104" t="s">
        <v>89</v>
      </c>
      <c r="I38" s="14"/>
    </row>
    <row r="39" spans="2:10" s="9" customFormat="1" ht="27" thickBot="1" x14ac:dyDescent="0.3">
      <c r="B39" s="698"/>
      <c r="C39" s="101" t="s">
        <v>45</v>
      </c>
      <c r="D39" s="54">
        <v>4</v>
      </c>
      <c r="E39" s="166" t="s">
        <v>33</v>
      </c>
      <c r="F39" s="398" t="s">
        <v>34</v>
      </c>
      <c r="G39" s="55" t="s">
        <v>138</v>
      </c>
      <c r="H39" s="80" t="s">
        <v>40</v>
      </c>
      <c r="I39" s="14"/>
    </row>
    <row r="40" spans="2:10" s="9" customFormat="1" x14ac:dyDescent="0.25">
      <c r="C40" s="10"/>
      <c r="D40" s="11"/>
      <c r="E40" s="12"/>
      <c r="F40" s="11"/>
      <c r="G40" s="13"/>
      <c r="H40" s="10"/>
      <c r="I40" s="14"/>
    </row>
    <row r="41" spans="2:10" s="9" customFormat="1" x14ac:dyDescent="0.25">
      <c r="C41" s="10"/>
      <c r="D41" s="11"/>
      <c r="E41" s="12"/>
      <c r="F41" s="11"/>
      <c r="G41" s="13"/>
      <c r="H41" s="10"/>
      <c r="I41" s="14"/>
    </row>
    <row r="42" spans="2:10" ht="17.399999999999999" x14ac:dyDescent="0.3">
      <c r="C42" s="35"/>
    </row>
  </sheetData>
  <customSheetViews>
    <customSheetView guid="{2E70E708-B73C-4323-9253-4875EF82DB2B}" scale="85" showPageBreaks="1" topLeftCell="A11">
      <selection activeCell="J36" sqref="J36"/>
    </customSheetView>
  </customSheetViews>
  <mergeCells count="9">
    <mergeCell ref="B5:B10"/>
    <mergeCell ref="B29:B34"/>
    <mergeCell ref="B35:B39"/>
    <mergeCell ref="I11:I13"/>
    <mergeCell ref="J11:J14"/>
    <mergeCell ref="I15:J15"/>
    <mergeCell ref="B16:B18"/>
    <mergeCell ref="B19:B23"/>
    <mergeCell ref="B11:B15"/>
  </mergeCells>
  <pageMargins left="0.11811023622047245" right="0.11811023622047245" top="0.19685039370078741" bottom="0.19685039370078741" header="0.31496062992125984" footer="0.31496062992125984"/>
  <pageSetup paperSize="9" scale="67" orientation="portrait" horizontalDpi="300" verticalDpi="300" r:id="rId1"/>
  <rowBreaks count="1" manualBreakCount="1">
    <brk id="25" max="7" man="1"/>
  </rowBreaks>
  <colBreaks count="1" manualBreakCount="1">
    <brk id="10" max="1048575" man="1"/>
  </colBreaks>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dimension ref="B1:J40"/>
  <sheetViews>
    <sheetView showGridLines="0" topLeftCell="A10" zoomScale="80" zoomScaleNormal="80" zoomScaleSheetLayoutView="80" workbookViewId="0">
      <selection activeCell="F14" sqref="F14:H14"/>
    </sheetView>
  </sheetViews>
  <sheetFormatPr baseColWidth="10" defaultColWidth="11.44140625" defaultRowHeight="13.2" x14ac:dyDescent="0.25"/>
  <cols>
    <col min="1" max="2" width="5.6640625" style="491" customWidth="1"/>
    <col min="3" max="3" width="16.33203125" style="491" customWidth="1"/>
    <col min="4" max="4" width="13" style="491" customWidth="1"/>
    <col min="5" max="5" width="19.6640625" style="491" bestFit="1" customWidth="1"/>
    <col min="6" max="6" width="28.6640625" style="491" bestFit="1" customWidth="1"/>
    <col min="7" max="7" width="15" style="491" customWidth="1"/>
    <col min="8" max="8" width="51.6640625" style="491" customWidth="1"/>
    <col min="9" max="9" width="12.33203125" style="492" customWidth="1"/>
    <col min="10" max="10" width="20.33203125" style="491" customWidth="1"/>
    <col min="11" max="16384" width="11.44140625" style="491"/>
  </cols>
  <sheetData>
    <row r="1" spans="2:10" ht="15.75" customHeight="1" x14ac:dyDescent="0.25"/>
    <row r="2" spans="2:10" ht="15.75" customHeight="1" x14ac:dyDescent="0.4">
      <c r="C2" s="493" t="s">
        <v>503</v>
      </c>
      <c r="D2" s="494"/>
      <c r="E2" s="494"/>
      <c r="F2" s="494"/>
      <c r="G2" s="494"/>
      <c r="H2" s="494"/>
    </row>
    <row r="3" spans="2:10" ht="15.75" customHeight="1" thickBot="1" x14ac:dyDescent="0.45">
      <c r="B3" s="493"/>
      <c r="C3" s="494"/>
      <c r="D3" s="494"/>
      <c r="E3" s="494"/>
      <c r="F3" s="494"/>
      <c r="G3" s="494"/>
      <c r="H3" s="494"/>
    </row>
    <row r="4" spans="2:10" ht="32.25" customHeight="1" thickBot="1" x14ac:dyDescent="0.3">
      <c r="C4" s="495" t="s">
        <v>83</v>
      </c>
      <c r="D4" s="496" t="s">
        <v>84</v>
      </c>
      <c r="E4" s="497" t="s">
        <v>85</v>
      </c>
      <c r="F4" s="496" t="s">
        <v>86</v>
      </c>
      <c r="G4" s="496" t="s">
        <v>14</v>
      </c>
      <c r="H4" s="496" t="s">
        <v>87</v>
      </c>
    </row>
    <row r="5" spans="2:10" ht="27" thickBot="1" x14ac:dyDescent="0.3">
      <c r="B5" s="722" t="s">
        <v>62</v>
      </c>
      <c r="C5" s="498" t="s">
        <v>2</v>
      </c>
      <c r="D5" s="499">
        <v>8</v>
      </c>
      <c r="E5" s="500" t="s">
        <v>374</v>
      </c>
      <c r="F5" s="501" t="str">
        <f>[2]Filled_by_requestor!H13</f>
        <v>TMOAKZ01</v>
      </c>
      <c r="G5" s="502" t="s">
        <v>15</v>
      </c>
      <c r="H5" s="503" t="s">
        <v>99</v>
      </c>
      <c r="I5" s="504"/>
    </row>
    <row r="6" spans="2:10" ht="59.25" customHeight="1" thickBot="1" x14ac:dyDescent="0.3">
      <c r="B6" s="723"/>
      <c r="C6" s="505" t="s">
        <v>3</v>
      </c>
      <c r="D6" s="506">
        <v>8</v>
      </c>
      <c r="E6" s="500" t="s">
        <v>375</v>
      </c>
      <c r="F6" s="501" t="str">
        <f>[2]Filled_by_requestor!C22</f>
        <v>IPSL0610</v>
      </c>
      <c r="G6" s="507" t="s">
        <v>15</v>
      </c>
      <c r="H6" s="508" t="s">
        <v>319</v>
      </c>
      <c r="I6" s="492" t="s">
        <v>1</v>
      </c>
    </row>
    <row r="7" spans="2:10" ht="56.25" customHeight="1" thickBot="1" x14ac:dyDescent="0.3">
      <c r="B7" s="723"/>
      <c r="C7" s="505" t="s">
        <v>4</v>
      </c>
      <c r="D7" s="506">
        <v>8</v>
      </c>
      <c r="E7" s="500" t="s">
        <v>10</v>
      </c>
      <c r="F7" s="509" t="s">
        <v>135</v>
      </c>
      <c r="G7" s="507" t="s">
        <v>15</v>
      </c>
      <c r="H7" s="510" t="s">
        <v>343</v>
      </c>
    </row>
    <row r="8" spans="2:10" ht="42" customHeight="1" thickBot="1" x14ac:dyDescent="0.3">
      <c r="B8" s="723"/>
      <c r="C8" s="505" t="s">
        <v>5</v>
      </c>
      <c r="D8" s="506">
        <v>4</v>
      </c>
      <c r="E8" s="500" t="s">
        <v>16</v>
      </c>
      <c r="F8" s="511" t="s">
        <v>27</v>
      </c>
      <c r="G8" s="507" t="s">
        <v>15</v>
      </c>
      <c r="H8" s="510" t="s">
        <v>148</v>
      </c>
      <c r="I8" s="512"/>
    </row>
    <row r="9" spans="2:10" ht="26.25" customHeight="1" thickBot="1" x14ac:dyDescent="0.3">
      <c r="B9" s="723"/>
      <c r="C9" s="513" t="s">
        <v>6</v>
      </c>
      <c r="D9" s="514">
        <v>4</v>
      </c>
      <c r="E9" s="515" t="s">
        <v>17</v>
      </c>
      <c r="F9" s="516" t="s">
        <v>7</v>
      </c>
      <c r="G9" s="517" t="s">
        <v>136</v>
      </c>
      <c r="H9" s="510" t="s">
        <v>92</v>
      </c>
    </row>
    <row r="10" spans="2:10" ht="26.25" customHeight="1" thickBot="1" x14ac:dyDescent="0.3">
      <c r="B10" s="724"/>
      <c r="C10" s="518" t="s">
        <v>22</v>
      </c>
      <c r="D10" s="519">
        <v>14</v>
      </c>
      <c r="E10" s="520" t="s">
        <v>11</v>
      </c>
      <c r="F10" s="521" t="s">
        <v>23</v>
      </c>
      <c r="G10" s="522" t="s">
        <v>136</v>
      </c>
      <c r="H10" s="523" t="s">
        <v>93</v>
      </c>
    </row>
    <row r="11" spans="2:10" ht="26.25" customHeight="1" thickBot="1" x14ac:dyDescent="0.3">
      <c r="B11" s="719" t="s">
        <v>157</v>
      </c>
      <c r="C11" s="524" t="s">
        <v>35</v>
      </c>
      <c r="D11" s="525">
        <v>2</v>
      </c>
      <c r="E11" s="526" t="s">
        <v>28</v>
      </c>
      <c r="F11" s="527">
        <f>[2]Filled_by_requestor!G22</f>
        <v>61</v>
      </c>
      <c r="G11" s="528" t="s">
        <v>136</v>
      </c>
      <c r="H11" s="529" t="s">
        <v>88</v>
      </c>
      <c r="I11" s="725" t="s">
        <v>149</v>
      </c>
      <c r="J11" s="727" t="s">
        <v>151</v>
      </c>
    </row>
    <row r="12" spans="2:10" ht="26.25" customHeight="1" thickBot="1" x14ac:dyDescent="0.3">
      <c r="B12" s="720"/>
      <c r="C12" s="530" t="s">
        <v>36</v>
      </c>
      <c r="D12" s="531">
        <v>8</v>
      </c>
      <c r="E12" s="532" t="s">
        <v>29</v>
      </c>
      <c r="F12" s="533" t="str">
        <f>F5</f>
        <v>TMOAKZ01</v>
      </c>
      <c r="G12" s="534" t="s">
        <v>15</v>
      </c>
      <c r="H12" s="535" t="s">
        <v>30</v>
      </c>
      <c r="I12" s="726"/>
      <c r="J12" s="728"/>
    </row>
    <row r="13" spans="2:10" ht="26.25" customHeight="1" thickBot="1" x14ac:dyDescent="0.3">
      <c r="B13" s="720"/>
      <c r="C13" s="530" t="s">
        <v>24</v>
      </c>
      <c r="D13" s="531">
        <v>8</v>
      </c>
      <c r="E13" s="532" t="s">
        <v>31</v>
      </c>
      <c r="F13" s="536" t="s">
        <v>135</v>
      </c>
      <c r="G13" s="534" t="s">
        <v>15</v>
      </c>
      <c r="H13" s="535" t="s">
        <v>107</v>
      </c>
      <c r="I13" s="726"/>
      <c r="J13" s="728"/>
    </row>
    <row r="14" spans="2:10" ht="27" thickBot="1" x14ac:dyDescent="0.3">
      <c r="B14" s="720"/>
      <c r="C14" s="537" t="s">
        <v>44</v>
      </c>
      <c r="D14" s="538">
        <v>18</v>
      </c>
      <c r="E14" s="539" t="s">
        <v>32</v>
      </c>
      <c r="F14" s="621" t="s">
        <v>517</v>
      </c>
      <c r="G14" s="52" t="s">
        <v>15</v>
      </c>
      <c r="H14" s="622" t="s">
        <v>518</v>
      </c>
      <c r="I14" s="542" t="s">
        <v>150</v>
      </c>
      <c r="J14" s="729"/>
    </row>
    <row r="15" spans="2:10" ht="26.25" customHeight="1" thickBot="1" x14ac:dyDescent="0.3">
      <c r="B15" s="721"/>
      <c r="C15" s="543" t="s">
        <v>45</v>
      </c>
      <c r="D15" s="544">
        <v>4</v>
      </c>
      <c r="E15" s="545" t="s">
        <v>33</v>
      </c>
      <c r="F15" s="546" t="s">
        <v>37</v>
      </c>
      <c r="G15" s="547" t="s">
        <v>138</v>
      </c>
      <c r="H15" s="548" t="s">
        <v>65</v>
      </c>
      <c r="I15" s="730" t="s">
        <v>152</v>
      </c>
      <c r="J15" s="731"/>
    </row>
    <row r="16" spans="2:10" ht="26.25" customHeight="1" thickBot="1" x14ac:dyDescent="0.3">
      <c r="B16" s="732" t="s">
        <v>156</v>
      </c>
      <c r="C16" s="549" t="s">
        <v>195</v>
      </c>
      <c r="D16" s="550">
        <v>8</v>
      </c>
      <c r="E16" s="551" t="s">
        <v>70</v>
      </c>
      <c r="F16" s="616" t="s">
        <v>505</v>
      </c>
      <c r="G16" s="552" t="s">
        <v>15</v>
      </c>
      <c r="H16" s="553" t="s">
        <v>160</v>
      </c>
      <c r="I16" s="554"/>
      <c r="J16" s="555"/>
    </row>
    <row r="17" spans="2:10" ht="37.5" customHeight="1" thickBot="1" x14ac:dyDescent="0.3">
      <c r="B17" s="733"/>
      <c r="C17" s="549" t="s">
        <v>196</v>
      </c>
      <c r="D17" s="556">
        <v>12</v>
      </c>
      <c r="E17" s="557" t="s">
        <v>12</v>
      </c>
      <c r="F17" s="558" t="s">
        <v>74</v>
      </c>
      <c r="G17" s="559" t="s">
        <v>15</v>
      </c>
      <c r="H17" s="560" t="s">
        <v>158</v>
      </c>
      <c r="I17" s="561"/>
    </row>
    <row r="18" spans="2:10" ht="33" customHeight="1" thickBot="1" x14ac:dyDescent="0.3">
      <c r="B18" s="733"/>
      <c r="C18" s="549" t="s">
        <v>197</v>
      </c>
      <c r="D18" s="562">
        <v>2</v>
      </c>
      <c r="E18" s="563" t="s">
        <v>13</v>
      </c>
      <c r="F18" s="564" t="str">
        <f>[2]Filled_by_requestor!K22</f>
        <v>FG</v>
      </c>
      <c r="G18" s="565" t="s">
        <v>15</v>
      </c>
      <c r="H18" s="566" t="s">
        <v>69</v>
      </c>
      <c r="I18" s="512"/>
      <c r="J18" s="555"/>
    </row>
    <row r="19" spans="2:10" ht="26.25" customHeight="1" thickBot="1" x14ac:dyDescent="0.3">
      <c r="B19" s="734" t="s">
        <v>155</v>
      </c>
      <c r="C19" s="567" t="s">
        <v>217</v>
      </c>
      <c r="D19" s="568">
        <v>7</v>
      </c>
      <c r="E19" s="569" t="s">
        <v>506</v>
      </c>
      <c r="F19" s="570"/>
      <c r="G19" s="571" t="s">
        <v>15</v>
      </c>
      <c r="H19" s="572" t="s">
        <v>47</v>
      </c>
    </row>
    <row r="20" spans="2:10" ht="26.25" customHeight="1" thickBot="1" x14ac:dyDescent="0.3">
      <c r="B20" s="735"/>
      <c r="C20" s="573" t="s">
        <v>519</v>
      </c>
      <c r="D20" s="574">
        <v>60</v>
      </c>
      <c r="E20" s="575" t="s">
        <v>507</v>
      </c>
      <c r="F20" s="576"/>
      <c r="G20" s="577" t="s">
        <v>15</v>
      </c>
      <c r="H20" s="578" t="s">
        <v>508</v>
      </c>
    </row>
    <row r="21" spans="2:10" ht="26.25" customHeight="1" thickBot="1" x14ac:dyDescent="0.3">
      <c r="B21" s="736"/>
      <c r="C21" s="579" t="s">
        <v>520</v>
      </c>
      <c r="D21" s="580">
        <v>11</v>
      </c>
      <c r="E21" s="581"/>
      <c r="F21" s="582"/>
      <c r="G21" s="583"/>
      <c r="H21" s="584" t="s">
        <v>509</v>
      </c>
    </row>
    <row r="22" spans="2:10" x14ac:dyDescent="0.25">
      <c r="B22" s="585"/>
      <c r="C22" s="586"/>
      <c r="D22" s="587"/>
      <c r="E22" s="587"/>
      <c r="F22" s="587"/>
      <c r="G22" s="587"/>
      <c r="H22" s="587"/>
    </row>
    <row r="23" spans="2:10" ht="15" x14ac:dyDescent="0.25">
      <c r="C23" s="588"/>
      <c r="D23" s="588"/>
      <c r="E23" s="588"/>
      <c r="F23" s="588"/>
      <c r="G23" s="588"/>
      <c r="H23" s="588"/>
    </row>
    <row r="24" spans="2:10" ht="17.399999999999999" x14ac:dyDescent="0.3">
      <c r="B24" s="589" t="s">
        <v>104</v>
      </c>
      <c r="C24" s="589"/>
      <c r="D24" s="589"/>
      <c r="E24" s="589"/>
      <c r="F24" s="589"/>
      <c r="G24" s="587"/>
      <c r="H24" s="587"/>
      <c r="I24" s="491"/>
    </row>
    <row r="25" spans="2:10" s="590" customFormat="1" ht="13.8" thickBot="1" x14ac:dyDescent="0.3">
      <c r="C25" s="591"/>
      <c r="D25" s="592"/>
      <c r="E25" s="593"/>
      <c r="F25" s="592"/>
      <c r="G25" s="594"/>
      <c r="H25" s="591"/>
      <c r="I25" s="595"/>
      <c r="J25" s="491"/>
    </row>
    <row r="26" spans="2:10" s="590" customFormat="1" ht="16.2" thickBot="1" x14ac:dyDescent="0.3">
      <c r="C26" s="495" t="s">
        <v>83</v>
      </c>
      <c r="D26" s="496" t="s">
        <v>84</v>
      </c>
      <c r="E26" s="497" t="s">
        <v>85</v>
      </c>
      <c r="F26" s="496" t="s">
        <v>86</v>
      </c>
      <c r="G26" s="496" t="s">
        <v>14</v>
      </c>
      <c r="H26" s="496" t="s">
        <v>87</v>
      </c>
      <c r="I26" s="595"/>
      <c r="J26" s="491"/>
    </row>
    <row r="27" spans="2:10" s="590" customFormat="1" ht="53.4" thickBot="1" x14ac:dyDescent="0.3">
      <c r="B27" s="722" t="s">
        <v>62</v>
      </c>
      <c r="C27" s="498" t="s">
        <v>2</v>
      </c>
      <c r="D27" s="499">
        <v>8</v>
      </c>
      <c r="E27" s="596" t="s">
        <v>75</v>
      </c>
      <c r="F27" s="597" t="str">
        <f>F6</f>
        <v>IPSL0610</v>
      </c>
      <c r="G27" s="502" t="s">
        <v>15</v>
      </c>
      <c r="H27" s="598" t="s">
        <v>101</v>
      </c>
      <c r="I27" s="595"/>
      <c r="J27" s="491"/>
    </row>
    <row r="28" spans="2:10" s="590" customFormat="1" ht="53.4" thickBot="1" x14ac:dyDescent="0.3">
      <c r="B28" s="723"/>
      <c r="C28" s="599" t="s">
        <v>3</v>
      </c>
      <c r="D28" s="600">
        <v>8</v>
      </c>
      <c r="E28" s="601" t="s">
        <v>76</v>
      </c>
      <c r="F28" s="597" t="str">
        <f>F5</f>
        <v>TMOAKZ01</v>
      </c>
      <c r="G28" s="602" t="s">
        <v>15</v>
      </c>
      <c r="H28" s="603" t="s">
        <v>159</v>
      </c>
      <c r="I28" s="595"/>
      <c r="J28" s="491"/>
    </row>
    <row r="29" spans="2:10" s="590" customFormat="1" ht="27" thickBot="1" x14ac:dyDescent="0.3">
      <c r="B29" s="723"/>
      <c r="C29" s="604" t="s">
        <v>4</v>
      </c>
      <c r="D29" s="600">
        <v>8</v>
      </c>
      <c r="E29" s="601" t="s">
        <v>10</v>
      </c>
      <c r="F29" s="605" t="s">
        <v>147</v>
      </c>
      <c r="G29" s="602" t="s">
        <v>15</v>
      </c>
      <c r="H29" s="510" t="s">
        <v>94</v>
      </c>
      <c r="I29" s="595"/>
      <c r="J29" s="491"/>
    </row>
    <row r="30" spans="2:10" s="590" customFormat="1" ht="27" thickBot="1" x14ac:dyDescent="0.3">
      <c r="B30" s="723"/>
      <c r="C30" s="604" t="s">
        <v>5</v>
      </c>
      <c r="D30" s="600">
        <v>4</v>
      </c>
      <c r="E30" s="601" t="s">
        <v>16</v>
      </c>
      <c r="F30" s="605" t="s">
        <v>27</v>
      </c>
      <c r="G30" s="602" t="s">
        <v>15</v>
      </c>
      <c r="H30" s="598" t="s">
        <v>162</v>
      </c>
      <c r="I30" s="595"/>
      <c r="J30" s="491"/>
    </row>
    <row r="31" spans="2:10" s="590" customFormat="1" ht="20.25" customHeight="1" thickBot="1" x14ac:dyDescent="0.3">
      <c r="B31" s="723"/>
      <c r="C31" s="513" t="s">
        <v>6</v>
      </c>
      <c r="D31" s="600">
        <v>4</v>
      </c>
      <c r="E31" s="601" t="s">
        <v>17</v>
      </c>
      <c r="F31" s="605" t="s">
        <v>7</v>
      </c>
      <c r="G31" s="606" t="s">
        <v>136</v>
      </c>
      <c r="H31" s="510" t="s">
        <v>163</v>
      </c>
      <c r="I31" s="595"/>
      <c r="J31" s="491"/>
    </row>
    <row r="32" spans="2:10" s="590" customFormat="1" ht="20.25" customHeight="1" thickBot="1" x14ac:dyDescent="0.3">
      <c r="B32" s="724"/>
      <c r="C32" s="607" t="s">
        <v>22</v>
      </c>
      <c r="D32" s="608">
        <v>14</v>
      </c>
      <c r="E32" s="609" t="s">
        <v>11</v>
      </c>
      <c r="F32" s="610" t="s">
        <v>23</v>
      </c>
      <c r="G32" s="611" t="s">
        <v>136</v>
      </c>
      <c r="H32" s="523" t="s">
        <v>93</v>
      </c>
      <c r="I32" s="595"/>
      <c r="J32" s="491"/>
    </row>
    <row r="33" spans="2:10" s="590" customFormat="1" ht="16.8" thickBot="1" x14ac:dyDescent="0.3">
      <c r="B33" s="719" t="s">
        <v>137</v>
      </c>
      <c r="C33" s="524" t="s">
        <v>35</v>
      </c>
      <c r="D33" s="525">
        <v>2</v>
      </c>
      <c r="E33" s="526" t="s">
        <v>28</v>
      </c>
      <c r="F33" s="527">
        <f>F11</f>
        <v>61</v>
      </c>
      <c r="G33" s="528" t="s">
        <v>136</v>
      </c>
      <c r="H33" s="612" t="s">
        <v>88</v>
      </c>
      <c r="I33" s="595"/>
      <c r="J33" s="491"/>
    </row>
    <row r="34" spans="2:10" s="590" customFormat="1" ht="27" thickBot="1" x14ac:dyDescent="0.3">
      <c r="B34" s="720"/>
      <c r="C34" s="530" t="s">
        <v>36</v>
      </c>
      <c r="D34" s="531">
        <v>8</v>
      </c>
      <c r="E34" s="532" t="s">
        <v>29</v>
      </c>
      <c r="F34" s="533" t="str">
        <f>F28</f>
        <v>TMOAKZ01</v>
      </c>
      <c r="G34" s="534" t="s">
        <v>15</v>
      </c>
      <c r="H34" s="613" t="s">
        <v>30</v>
      </c>
      <c r="I34" s="595"/>
      <c r="J34" s="491"/>
    </row>
    <row r="35" spans="2:10" s="590" customFormat="1" ht="27" thickBot="1" x14ac:dyDescent="0.3">
      <c r="B35" s="720"/>
      <c r="C35" s="530" t="s">
        <v>24</v>
      </c>
      <c r="D35" s="531">
        <v>8</v>
      </c>
      <c r="E35" s="532" t="s">
        <v>31</v>
      </c>
      <c r="F35" s="536" t="s">
        <v>135</v>
      </c>
      <c r="G35" s="534" t="s">
        <v>15</v>
      </c>
      <c r="H35" s="613" t="s">
        <v>94</v>
      </c>
      <c r="I35" s="595"/>
    </row>
    <row r="36" spans="2:10" s="590" customFormat="1" ht="27" thickBot="1" x14ac:dyDescent="0.3">
      <c r="B36" s="720"/>
      <c r="C36" s="537" t="s">
        <v>44</v>
      </c>
      <c r="D36" s="538">
        <v>18</v>
      </c>
      <c r="E36" s="539" t="s">
        <v>32</v>
      </c>
      <c r="F36" s="540" t="s">
        <v>504</v>
      </c>
      <c r="G36" s="541" t="s">
        <v>15</v>
      </c>
      <c r="H36" s="614" t="s">
        <v>89</v>
      </c>
      <c r="I36" s="595"/>
    </row>
    <row r="37" spans="2:10" s="590" customFormat="1" ht="27" thickBot="1" x14ac:dyDescent="0.3">
      <c r="B37" s="721"/>
      <c r="C37" s="543" t="s">
        <v>45</v>
      </c>
      <c r="D37" s="544">
        <v>4</v>
      </c>
      <c r="E37" s="545" t="s">
        <v>33</v>
      </c>
      <c r="F37" s="546" t="s">
        <v>34</v>
      </c>
      <c r="G37" s="547" t="s">
        <v>138</v>
      </c>
      <c r="H37" s="615" t="s">
        <v>40</v>
      </c>
      <c r="I37" s="595"/>
    </row>
    <row r="38" spans="2:10" s="590" customFormat="1" x14ac:dyDescent="0.25">
      <c r="C38" s="591"/>
      <c r="D38" s="592"/>
      <c r="E38" s="593"/>
      <c r="F38" s="592"/>
      <c r="G38" s="594"/>
      <c r="H38" s="591"/>
      <c r="I38" s="595"/>
    </row>
    <row r="39" spans="2:10" s="590" customFormat="1" x14ac:dyDescent="0.25">
      <c r="C39" s="591"/>
      <c r="D39" s="592"/>
      <c r="E39" s="593"/>
      <c r="F39" s="592"/>
      <c r="G39" s="594"/>
      <c r="H39" s="591"/>
      <c r="I39" s="595"/>
    </row>
    <row r="40" spans="2:10" ht="17.399999999999999" x14ac:dyDescent="0.3">
      <c r="C40" s="589"/>
    </row>
  </sheetData>
  <mergeCells count="9">
    <mergeCell ref="B33:B37"/>
    <mergeCell ref="B5:B10"/>
    <mergeCell ref="B11:B15"/>
    <mergeCell ref="I11:I13"/>
    <mergeCell ref="J11:J14"/>
    <mergeCell ref="I15:J15"/>
    <mergeCell ref="B16:B18"/>
    <mergeCell ref="B19:B21"/>
    <mergeCell ref="B27:B32"/>
  </mergeCells>
  <pageMargins left="0.11811023622047245" right="0.11811023622047245" top="0.19685039370078741" bottom="0.19685039370078741" header="0.31496062992125984" footer="0.31496062992125984"/>
  <pageSetup paperSize="9" scale="67" orientation="portrait" horizontalDpi="300" verticalDpi="300" r:id="rId1"/>
  <rowBreaks count="1" manualBreakCount="1">
    <brk id="23" max="7" man="1"/>
  </rowBreaks>
  <colBreaks count="1" manualBreakCount="1">
    <brk id="10" max="1048575" man="1"/>
  </colBreak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dimension ref="B4:E19"/>
  <sheetViews>
    <sheetView zoomScale="80" zoomScaleNormal="80" workbookViewId="0">
      <selection activeCell="D17" sqref="D17"/>
    </sheetView>
  </sheetViews>
  <sheetFormatPr baseColWidth="10" defaultRowHeight="13.2" x14ac:dyDescent="0.25"/>
  <cols>
    <col min="1" max="1" width="3.88671875" customWidth="1"/>
    <col min="3" max="3" width="73.6640625" customWidth="1"/>
    <col min="4" max="4" width="140.109375" bestFit="1" customWidth="1"/>
    <col min="5" max="5" width="13" style="272" bestFit="1" customWidth="1"/>
  </cols>
  <sheetData>
    <row r="4" spans="2:5" ht="15.6" x14ac:dyDescent="0.3">
      <c r="B4" s="151" t="s">
        <v>358</v>
      </c>
      <c r="C4" s="1"/>
    </row>
    <row r="5" spans="2:5" ht="15.6" x14ac:dyDescent="0.3">
      <c r="B5" s="151"/>
      <c r="C5" s="1"/>
    </row>
    <row r="6" spans="2:5" s="83" customFormat="1" ht="30" x14ac:dyDescent="0.25">
      <c r="B6" s="445" t="s">
        <v>39</v>
      </c>
      <c r="C6" s="445"/>
      <c r="D6" s="444" t="s">
        <v>426</v>
      </c>
      <c r="E6" s="484" t="s">
        <v>8</v>
      </c>
    </row>
    <row r="7" spans="2:5" ht="30" x14ac:dyDescent="0.25">
      <c r="B7" s="443" t="s">
        <v>359</v>
      </c>
      <c r="C7" s="444" t="s">
        <v>427</v>
      </c>
      <c r="D7" s="149" t="s">
        <v>428</v>
      </c>
      <c r="E7" s="484" t="s">
        <v>8</v>
      </c>
    </row>
    <row r="8" spans="2:5" ht="30" x14ac:dyDescent="0.25">
      <c r="B8" s="443" t="s">
        <v>360</v>
      </c>
      <c r="C8" s="444" t="s">
        <v>429</v>
      </c>
      <c r="D8" s="149" t="s">
        <v>430</v>
      </c>
      <c r="E8" s="484" t="s">
        <v>8</v>
      </c>
    </row>
    <row r="9" spans="2:5" ht="30" x14ac:dyDescent="0.25">
      <c r="B9" s="443" t="s">
        <v>361</v>
      </c>
      <c r="C9" s="444" t="s">
        <v>431</v>
      </c>
      <c r="D9" s="149" t="s">
        <v>432</v>
      </c>
      <c r="E9" s="484" t="s">
        <v>8</v>
      </c>
    </row>
    <row r="10" spans="2:5" ht="30" x14ac:dyDescent="0.25">
      <c r="B10" s="443" t="s">
        <v>362</v>
      </c>
      <c r="C10" s="444" t="s">
        <v>433</v>
      </c>
      <c r="D10" s="149" t="s">
        <v>434</v>
      </c>
      <c r="E10" s="484" t="s">
        <v>8</v>
      </c>
    </row>
    <row r="11" spans="2:5" ht="30" x14ac:dyDescent="0.25">
      <c r="B11" s="443" t="s">
        <v>363</v>
      </c>
      <c r="C11" s="444" t="s">
        <v>435</v>
      </c>
      <c r="D11" s="149" t="s">
        <v>436</v>
      </c>
      <c r="E11" s="484" t="s">
        <v>8</v>
      </c>
    </row>
    <row r="12" spans="2:5" ht="30" x14ac:dyDescent="0.25">
      <c r="B12" s="443" t="s">
        <v>364</v>
      </c>
      <c r="C12" s="444" t="s">
        <v>437</v>
      </c>
      <c r="D12" s="149" t="s">
        <v>438</v>
      </c>
      <c r="E12" s="484" t="s">
        <v>8</v>
      </c>
    </row>
    <row r="13" spans="2:5" ht="30" x14ac:dyDescent="0.25">
      <c r="B13" s="443" t="s">
        <v>439</v>
      </c>
      <c r="C13" s="444" t="s">
        <v>440</v>
      </c>
      <c r="D13" s="149" t="s">
        <v>441</v>
      </c>
      <c r="E13" s="484" t="s">
        <v>135</v>
      </c>
    </row>
    <row r="14" spans="2:5" ht="30" x14ac:dyDescent="0.25">
      <c r="B14" s="443" t="s">
        <v>442</v>
      </c>
      <c r="C14" s="444" t="s">
        <v>443</v>
      </c>
      <c r="D14" s="149" t="s">
        <v>444</v>
      </c>
      <c r="E14" s="484" t="s">
        <v>135</v>
      </c>
    </row>
    <row r="15" spans="2:5" ht="30" x14ac:dyDescent="0.25">
      <c r="B15" s="443" t="s">
        <v>445</v>
      </c>
      <c r="C15" s="444" t="s">
        <v>446</v>
      </c>
      <c r="D15" s="149" t="s">
        <v>447</v>
      </c>
      <c r="E15" s="484" t="s">
        <v>135</v>
      </c>
    </row>
    <row r="16" spans="2:5" ht="30" x14ac:dyDescent="0.25">
      <c r="B16" s="443" t="s">
        <v>448</v>
      </c>
      <c r="C16" s="444" t="s">
        <v>449</v>
      </c>
      <c r="D16" s="149" t="s">
        <v>450</v>
      </c>
      <c r="E16" s="484" t="s">
        <v>135</v>
      </c>
    </row>
    <row r="17" spans="2:5" ht="30" x14ac:dyDescent="0.25">
      <c r="B17" s="481" t="s">
        <v>489</v>
      </c>
      <c r="C17" s="482" t="s">
        <v>490</v>
      </c>
      <c r="D17" s="483" t="s">
        <v>495</v>
      </c>
      <c r="E17" s="484" t="s">
        <v>8</v>
      </c>
    </row>
    <row r="18" spans="2:5" ht="30" x14ac:dyDescent="0.25">
      <c r="B18" s="481" t="s">
        <v>491</v>
      </c>
      <c r="C18" s="482" t="s">
        <v>492</v>
      </c>
      <c r="D18" s="483" t="s">
        <v>496</v>
      </c>
      <c r="E18" s="484" t="s">
        <v>8</v>
      </c>
    </row>
    <row r="19" spans="2:5" ht="30" x14ac:dyDescent="0.25">
      <c r="B19" s="481" t="s">
        <v>493</v>
      </c>
      <c r="C19" s="482" t="s">
        <v>494</v>
      </c>
      <c r="D19" s="483" t="s">
        <v>497</v>
      </c>
      <c r="E19" s="484" t="s">
        <v>8</v>
      </c>
    </row>
  </sheetData>
  <pageMargins left="0.11811023622047245" right="0.11811023622047245" top="0.19685039370078741" bottom="0.19685039370078741" header="0.31496062992125984" footer="0.31496062992125984"/>
  <pageSetup paperSize="9" scale="77" orientation="portrait" r:id="rId1"/>
  <headerFooter>
    <oddHeader>&amp;L&amp;F&amp;CSeite &amp;P von &amp;N&amp;R&amp;A</oddHeader>
    <oddFooter>&amp;L&amp;F&amp;CSeite &amp;P von &amp;N&amp;R&amp;A</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
  <sheetViews>
    <sheetView showWhiteSpace="0" topLeftCell="A7" zoomScale="120" zoomScaleNormal="120" workbookViewId="0">
      <selection activeCell="A10" sqref="A10"/>
    </sheetView>
  </sheetViews>
  <sheetFormatPr baseColWidth="10" defaultColWidth="11.44140625" defaultRowHeight="14.4" x14ac:dyDescent="0.3"/>
  <cols>
    <col min="1" max="1" width="8.109375" style="464" customWidth="1"/>
    <col min="2" max="2" width="53.6640625" style="464" customWidth="1"/>
    <col min="3" max="3" width="22.109375" style="464" customWidth="1"/>
    <col min="4" max="4" width="28.109375" style="474" customWidth="1"/>
    <col min="5" max="5" width="31.109375" style="474" customWidth="1"/>
    <col min="6" max="16384" width="11.44140625" style="464"/>
  </cols>
  <sheetData>
    <row r="1" spans="1:6" ht="15" customHeight="1" x14ac:dyDescent="0.3">
      <c r="A1" s="740" t="s">
        <v>452</v>
      </c>
      <c r="B1" s="741" t="s">
        <v>453</v>
      </c>
      <c r="C1" s="741"/>
      <c r="D1" s="741"/>
      <c r="E1" s="462" t="s">
        <v>454</v>
      </c>
      <c r="F1" s="463"/>
    </row>
    <row r="2" spans="1:6" ht="15" customHeight="1" x14ac:dyDescent="0.3">
      <c r="A2" s="740"/>
      <c r="B2" s="741" t="s">
        <v>455</v>
      </c>
      <c r="C2" s="741"/>
      <c r="D2" s="741"/>
      <c r="E2" s="480" t="s">
        <v>526</v>
      </c>
      <c r="F2" s="463"/>
    </row>
    <row r="3" spans="1:6" ht="15" customHeight="1" x14ac:dyDescent="0.3">
      <c r="A3" s="740"/>
      <c r="B3" s="742"/>
      <c r="C3" s="742"/>
      <c r="D3" s="742"/>
      <c r="E3" s="741" t="s">
        <v>456</v>
      </c>
      <c r="F3" s="463"/>
    </row>
    <row r="4" spans="1:6" ht="52.2" customHeight="1" x14ac:dyDescent="0.3">
      <c r="A4" s="740"/>
      <c r="B4" s="742"/>
      <c r="C4" s="742"/>
      <c r="D4" s="742"/>
      <c r="E4" s="741"/>
      <c r="F4" s="463"/>
    </row>
    <row r="5" spans="1:6" ht="33" customHeight="1" x14ac:dyDescent="0.3">
      <c r="A5" s="740"/>
      <c r="B5" s="743" t="s">
        <v>457</v>
      </c>
      <c r="C5" s="743"/>
      <c r="D5" s="743"/>
      <c r="E5" s="465" t="s">
        <v>458</v>
      </c>
      <c r="F5" s="463"/>
    </row>
    <row r="6" spans="1:6" x14ac:dyDescent="0.3">
      <c r="A6" s="737"/>
      <c r="B6" s="737"/>
      <c r="C6" s="737"/>
      <c r="D6" s="737"/>
      <c r="E6" s="737"/>
      <c r="F6" s="463"/>
    </row>
    <row r="7" spans="1:6" ht="15" customHeight="1" x14ac:dyDescent="0.3">
      <c r="A7" s="738"/>
      <c r="B7" s="738"/>
      <c r="C7" s="738"/>
      <c r="D7" s="738"/>
      <c r="E7" s="738"/>
      <c r="F7" s="463"/>
    </row>
    <row r="8" spans="1:6" x14ac:dyDescent="0.3">
      <c r="A8" s="739" t="s">
        <v>459</v>
      </c>
      <c r="B8" s="739"/>
      <c r="C8" s="739"/>
      <c r="D8" s="739"/>
      <c r="E8" s="739"/>
      <c r="F8" s="463"/>
    </row>
    <row r="9" spans="1:6" ht="53.4" x14ac:dyDescent="0.3">
      <c r="A9" s="466" t="s">
        <v>460</v>
      </c>
      <c r="B9" s="467" t="s">
        <v>461</v>
      </c>
      <c r="C9" s="466" t="s">
        <v>462</v>
      </c>
      <c r="D9" s="466" t="s">
        <v>463</v>
      </c>
      <c r="E9" s="466" t="s">
        <v>464</v>
      </c>
      <c r="F9" s="463"/>
    </row>
    <row r="10" spans="1:6" ht="39.6" x14ac:dyDescent="0.3">
      <c r="A10" s="475" t="s">
        <v>524</v>
      </c>
      <c r="B10" s="480" t="s">
        <v>527</v>
      </c>
      <c r="C10" s="476" t="s">
        <v>525</v>
      </c>
      <c r="D10" s="477"/>
      <c r="E10" s="477"/>
      <c r="F10" s="463"/>
    </row>
    <row r="11" spans="1:6" s="479" customFormat="1" x14ac:dyDescent="0.3">
      <c r="A11" s="475" t="s">
        <v>521</v>
      </c>
      <c r="B11" s="480" t="s">
        <v>523</v>
      </c>
      <c r="C11" s="476" t="s">
        <v>522</v>
      </c>
      <c r="D11" s="477"/>
      <c r="E11" s="477"/>
      <c r="F11" s="478"/>
    </row>
    <row r="12" spans="1:6" s="627" customFormat="1" ht="118.95" customHeight="1" x14ac:dyDescent="0.3">
      <c r="A12" s="623" t="s">
        <v>488</v>
      </c>
      <c r="B12" s="624" t="s">
        <v>516</v>
      </c>
      <c r="C12" s="625" t="s">
        <v>502</v>
      </c>
      <c r="D12" s="477"/>
      <c r="E12" s="477"/>
      <c r="F12" s="626"/>
    </row>
    <row r="13" spans="1:6" ht="22.2" customHeight="1" x14ac:dyDescent="0.3">
      <c r="A13" s="468" t="s">
        <v>465</v>
      </c>
      <c r="B13" s="462" t="s">
        <v>466</v>
      </c>
      <c r="C13" s="469" t="s">
        <v>467</v>
      </c>
      <c r="D13" s="469" t="s">
        <v>468</v>
      </c>
      <c r="E13" s="469" t="s">
        <v>469</v>
      </c>
      <c r="F13" s="463"/>
    </row>
    <row r="14" spans="1:6" ht="26.4" x14ac:dyDescent="0.3">
      <c r="A14" s="468" t="s">
        <v>487</v>
      </c>
      <c r="B14" s="462" t="s">
        <v>451</v>
      </c>
      <c r="C14" s="470" t="s">
        <v>471</v>
      </c>
      <c r="D14" s="469"/>
      <c r="E14" s="469"/>
      <c r="F14" s="463"/>
    </row>
    <row r="15" spans="1:6" ht="22.2" customHeight="1" x14ac:dyDescent="0.3">
      <c r="A15" s="468" t="s">
        <v>486</v>
      </c>
      <c r="B15" s="462" t="s">
        <v>425</v>
      </c>
      <c r="C15" s="469" t="s">
        <v>472</v>
      </c>
      <c r="D15" s="469"/>
      <c r="E15" s="469"/>
      <c r="F15" s="463"/>
    </row>
    <row r="16" spans="1:6" ht="22.2" customHeight="1" x14ac:dyDescent="0.3">
      <c r="A16" s="471" t="s">
        <v>485</v>
      </c>
      <c r="B16" s="472" t="s">
        <v>422</v>
      </c>
      <c r="C16" s="473" t="s">
        <v>473</v>
      </c>
      <c r="D16" s="469"/>
      <c r="E16" s="469"/>
      <c r="F16" s="463"/>
    </row>
    <row r="17" spans="1:5" ht="26.25" customHeight="1" x14ac:dyDescent="0.3">
      <c r="A17" s="471" t="s">
        <v>484</v>
      </c>
      <c r="B17" s="472" t="s">
        <v>421</v>
      </c>
      <c r="C17" s="473" t="s">
        <v>474</v>
      </c>
      <c r="D17" s="473"/>
      <c r="E17" s="473"/>
    </row>
    <row r="18" spans="1:5" ht="22.2" customHeight="1" x14ac:dyDescent="0.3">
      <c r="A18" s="471" t="s">
        <v>483</v>
      </c>
      <c r="B18" s="472" t="s">
        <v>420</v>
      </c>
      <c r="C18" s="473" t="s">
        <v>475</v>
      </c>
      <c r="D18" s="473"/>
      <c r="E18" s="473"/>
    </row>
    <row r="19" spans="1:5" ht="22.2" customHeight="1" x14ac:dyDescent="0.3">
      <c r="A19" s="471" t="s">
        <v>482</v>
      </c>
      <c r="B19" s="472" t="s">
        <v>419</v>
      </c>
      <c r="C19" s="473" t="s">
        <v>476</v>
      </c>
      <c r="D19" s="473"/>
      <c r="E19" s="473"/>
    </row>
    <row r="20" spans="1:5" ht="29.25" customHeight="1" x14ac:dyDescent="0.3">
      <c r="A20" s="471" t="s">
        <v>481</v>
      </c>
      <c r="B20" s="472" t="s">
        <v>418</v>
      </c>
      <c r="C20" s="469" t="s">
        <v>477</v>
      </c>
      <c r="D20" s="473"/>
      <c r="E20" s="473"/>
    </row>
    <row r="21" spans="1:5" ht="27.75" customHeight="1" x14ac:dyDescent="0.3">
      <c r="A21" s="471" t="s">
        <v>480</v>
      </c>
      <c r="B21" s="472" t="s">
        <v>417</v>
      </c>
      <c r="C21" s="469" t="s">
        <v>478</v>
      </c>
      <c r="D21" s="473"/>
      <c r="E21" s="473"/>
    </row>
    <row r="22" spans="1:5" ht="22.2" customHeight="1" x14ac:dyDescent="0.3">
      <c r="A22" s="471" t="s">
        <v>470</v>
      </c>
      <c r="B22" s="472" t="s">
        <v>416</v>
      </c>
      <c r="C22" s="473" t="s">
        <v>479</v>
      </c>
      <c r="D22" s="473"/>
      <c r="E22" s="473"/>
    </row>
  </sheetData>
  <mergeCells count="9">
    <mergeCell ref="A6:E6"/>
    <mergeCell ref="A7:E7"/>
    <mergeCell ref="A8:E8"/>
    <mergeCell ref="A1:A5"/>
    <mergeCell ref="B1:D1"/>
    <mergeCell ref="B2:D2"/>
    <mergeCell ref="B3:D4"/>
    <mergeCell ref="E3:E4"/>
    <mergeCell ref="B5:D5"/>
  </mergeCells>
  <pageMargins left="0.43307086614173229" right="0.43307086614173229" top="0.62992125984251968" bottom="0.59055118110236227" header="0.31496062992125984" footer="0.31496062992125984"/>
  <pageSetup paperSize="9" orientation="landscape" r:id="rId1"/>
  <headerFooter>
    <oddHeader>&amp;C&amp;"BMW Group Condensed,Fett"&amp;12Lenkungsinformationen</oddHeader>
    <oddFooter>&amp;C&amp;"BMW Group Condensed,Fett"&amp;10Ausdruck nur zur Information&amp;R&amp;"BMW Group Condensed,Fett"&amp;10S. &amp;P/&amp;N</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16</vt:i4>
      </vt:variant>
    </vt:vector>
  </HeadingPairs>
  <TitlesOfParts>
    <vt:vector size="33" baseType="lpstr">
      <vt:lpstr>Filled_by_requestor</vt:lpstr>
      <vt:lpstr>checklist_ requestor</vt:lpstr>
      <vt:lpstr>Filled_by_IT</vt:lpstr>
      <vt:lpstr>TEL_REQU</vt:lpstr>
      <vt:lpstr>SEQ_REQU</vt:lpstr>
      <vt:lpstr>IPSRDATA</vt:lpstr>
      <vt:lpstr>IPS_DATA</vt:lpstr>
      <vt:lpstr>TRIG_PNT</vt:lpstr>
      <vt:lpstr>TRIG_PNT_empty</vt:lpstr>
      <vt:lpstr>IPS_MOVE</vt:lpstr>
      <vt:lpstr>PING_IPS</vt:lpstr>
      <vt:lpstr>PING_PLC</vt:lpstr>
      <vt:lpstr>SPS_DATA_VINRSULT</vt:lpstr>
      <vt:lpstr>SPS_DATA_ZUORMOGE</vt:lpstr>
      <vt:lpstr>SPS_DATA_RAXLEDIF</vt:lpstr>
      <vt:lpstr>Errorcodes</vt:lpstr>
      <vt:lpstr>Changes</vt:lpstr>
      <vt:lpstr>Changes!Druckbereich</vt:lpstr>
      <vt:lpstr>Filled_by_IT!Druckbereich</vt:lpstr>
      <vt:lpstr>Filled_by_requestor!Druckbereich</vt:lpstr>
      <vt:lpstr>IPS_DATA!Druckbereich</vt:lpstr>
      <vt:lpstr>IPS_MOVE!Druckbereich</vt:lpstr>
      <vt:lpstr>IPSRDATA!Druckbereich</vt:lpstr>
      <vt:lpstr>PING_IPS!Druckbereich</vt:lpstr>
      <vt:lpstr>PING_PLC!Druckbereich</vt:lpstr>
      <vt:lpstr>SEQ_REQU!Druckbereich</vt:lpstr>
      <vt:lpstr>SPS_DATA_RAXLEDIF!Druckbereich</vt:lpstr>
      <vt:lpstr>SPS_DATA_VINRSULT!Druckbereich</vt:lpstr>
      <vt:lpstr>SPS_DATA_ZUORMOGE!Druckbereich</vt:lpstr>
      <vt:lpstr>TEL_REQU!Druckbereich</vt:lpstr>
      <vt:lpstr>TRIG_PNT!Druckbereich</vt:lpstr>
      <vt:lpstr>TRIG_PNT_empty!Druckbereich</vt:lpstr>
      <vt:lpstr>TEL_REQU!TEL_REQU</vt:lpstr>
    </vt:vector>
  </TitlesOfParts>
  <Company>BMW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Harnik Camilla Maria</dc:creator>
  <cp:lastModifiedBy>Berger Tilo</cp:lastModifiedBy>
  <cp:lastPrinted>2014-04-03T15:27:18Z</cp:lastPrinted>
  <dcterms:created xsi:type="dcterms:W3CDTF">2007-04-13T13:29:50Z</dcterms:created>
  <dcterms:modified xsi:type="dcterms:W3CDTF">2018-10-17T11:29:30Z</dcterms:modified>
</cp:coreProperties>
</file>