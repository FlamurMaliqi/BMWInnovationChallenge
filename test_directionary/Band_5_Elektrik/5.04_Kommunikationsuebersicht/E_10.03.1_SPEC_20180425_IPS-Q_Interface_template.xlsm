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P:\10_CoC\04_CoC_ETST\21_ST\302_Standard_TMO_Version_V3.0\E_10_IT_System_Interfaces\"/>
    </mc:Choice>
  </mc:AlternateContent>
  <bookViews>
    <workbookView xWindow="3396" yWindow="0" windowWidth="13248" windowHeight="11676" tabRatio="831" activeTab="2"/>
  </bookViews>
  <sheets>
    <sheet name="Filled_by_requestor" sheetId="22" r:id="rId1"/>
    <sheet name="Filled by IT" sheetId="23" r:id="rId2"/>
    <sheet name="_ATTVAR_" sheetId="2" r:id="rId3"/>
    <sheet name="TEILCODE" sheetId="29" r:id="rId4"/>
    <sheet name="TEILCO2D" sheetId="33" r:id="rId5"/>
    <sheet name="++++LIFE" sheetId="28" r:id="rId6"/>
    <sheet name="Block Template" sheetId="31" r:id="rId7"/>
    <sheet name="Changes" sheetId="34" r:id="rId8"/>
  </sheets>
  <externalReferences>
    <externalReference r:id="rId9"/>
  </externalReferences>
  <definedNames>
    <definedName name="Ablage" localSheetId="7">#REF!</definedName>
    <definedName name="Ablage">#REF!</definedName>
    <definedName name="Aktoren_Sensoren" localSheetId="7">#REF!</definedName>
    <definedName name="Aktoren_Sensoren" localSheetId="4">#REF!</definedName>
    <definedName name="Aktoren_Sensoren">#REF!</definedName>
    <definedName name="Control" localSheetId="4">#REF!</definedName>
    <definedName name="Control">#REF!</definedName>
    <definedName name="Dokumentart" localSheetId="7">#REF!</definedName>
    <definedName name="Dokumentart">#REF!</definedName>
    <definedName name="Dokumentkategorie" localSheetId="7">#REF!</definedName>
    <definedName name="Dokumentkategorie">#REF!</definedName>
    <definedName name="_xlnm.Print_Area" localSheetId="2">_ATTVAR_!$B$3:$H$3</definedName>
    <definedName name="_xlnm.Print_Area" localSheetId="7">Changes!$A$1:$E$16</definedName>
    <definedName name="_xlnm.Print_Area" localSheetId="1">'Filled by IT'!$A$4:$K$106</definedName>
    <definedName name="_xlnm.Print_Area" localSheetId="0">Filled_by_requestor!$A$1:$O$65</definedName>
    <definedName name="Komponenten">[1]Daten!$A$2:$A$500</definedName>
    <definedName name="Ordner_Archive" localSheetId="7">#REF!</definedName>
    <definedName name="Ordner_Archive" localSheetId="4">#REF!</definedName>
    <definedName name="Ordner_Archive">#REF!</definedName>
    <definedName name="Prozessnummer" localSheetId="7">#REF!</definedName>
    <definedName name="Prozessnummer">#REF!</definedName>
    <definedName name="SIMATC_TIA_Profinet_Gerätenamen" localSheetId="4">#REF!</definedName>
    <definedName name="SIMATC_TIA_Profinet_Gerätenamen">#REF!</definedName>
    <definedName name="Simatic" localSheetId="4">#REF!</definedName>
    <definedName name="Simatic">#REF!</definedName>
    <definedName name="Simatic_TIA_Adressvergaben" localSheetId="4">#REF!</definedName>
    <definedName name="Simatic_TIA_Adressvergaben">#REF!</definedName>
    <definedName name="TCPIP_Namen" localSheetId="4">#REF!</definedName>
    <definedName name="TCPIP_Namen">#REF!</definedName>
    <definedName name="TEL_REQU" localSheetId="2">_ATTVAR_!#REF!</definedName>
    <definedName name="Test" localSheetId="7">#REF!</definedName>
    <definedName name="Test" localSheetId="4">#REF!</definedName>
    <definedName name="Test">#REF!</definedName>
    <definedName name="Z_2E70E708_B73C_4323_9253_4875EF82DB2B_.wvu.Rows" localSheetId="0" hidden="1">Filled_by_requestor!$39:$50,Filled_by_requestor!$53:$64</definedName>
    <definedName name="Zugriffsbeschränkung" localSheetId="7">#REF!</definedName>
    <definedName name="Zugriffsbeschränkung">#REF!</definedName>
  </definedNames>
  <calcPr calcId="152511" calcMode="manual"/>
  <customWorkbookViews>
    <customWorkbookView name="PLC specific information" guid="{2E70E708-B73C-4323-9253-4875EF82DB2B}" includePrintSettings="0" maximized="1" xWindow="1" yWindow="1" windowWidth="1362" windowHeight="548" tabRatio="897" activeSheetId="22"/>
  </customWorkbookViews>
</workbook>
</file>

<file path=xl/calcChain.xml><?xml version="1.0" encoding="utf-8"?>
<calcChain xmlns="http://schemas.openxmlformats.org/spreadsheetml/2006/main">
  <c r="E17" i="33" l="1"/>
  <c r="E17" i="29"/>
  <c r="E30" i="2"/>
  <c r="E28" i="2"/>
  <c r="E24" i="2"/>
  <c r="E22" i="2"/>
  <c r="E18" i="2"/>
  <c r="E16" i="2"/>
  <c r="E14" i="33" l="1"/>
  <c r="E14" i="29"/>
  <c r="E14" i="2" l="1"/>
  <c r="E21" i="31" l="1"/>
  <c r="E11" i="33"/>
  <c r="E6" i="33"/>
  <c r="L5" i="33" s="1"/>
  <c r="E5" i="33"/>
  <c r="L6" i="33" s="1"/>
  <c r="E11" i="29" l="1"/>
  <c r="E6" i="29"/>
  <c r="E5" i="29"/>
  <c r="E11" i="2" l="1"/>
  <c r="E6" i="2"/>
  <c r="E5" i="2"/>
  <c r="E14" i="31" l="1"/>
  <c r="E7" i="31"/>
  <c r="E5" i="31"/>
  <c r="G31" i="22" l="1"/>
  <c r="E16" i="28"/>
  <c r="E5" i="28"/>
  <c r="L6" i="29"/>
  <c r="L5" i="29"/>
  <c r="L5" i="2"/>
  <c r="L6" i="2" l="1"/>
  <c r="C3" i="22" l="1"/>
</calcChain>
</file>

<file path=xl/sharedStrings.xml><?xml version="1.0" encoding="utf-8"?>
<sst xmlns="http://schemas.openxmlformats.org/spreadsheetml/2006/main" count="618" uniqueCount="306">
  <si>
    <t xml:space="preserve"> </t>
  </si>
  <si>
    <t>AKZ</t>
  </si>
  <si>
    <t>OKAY</t>
  </si>
  <si>
    <t>Character</t>
  </si>
  <si>
    <t>Number</t>
  </si>
  <si>
    <t>Field Name</t>
  </si>
  <si>
    <t>Example</t>
  </si>
  <si>
    <t>Description</t>
  </si>
  <si>
    <t>Telegram name</t>
  </si>
  <si>
    <t>numeric</t>
  </si>
  <si>
    <t>alpha-numeric</t>
  </si>
  <si>
    <t>x</t>
  </si>
  <si>
    <t>Department code</t>
  </si>
  <si>
    <t>Tel. No</t>
  </si>
  <si>
    <t>Date</t>
  </si>
  <si>
    <t>Location</t>
  </si>
  <si>
    <t>Hardware</t>
  </si>
  <si>
    <t>type</t>
  </si>
  <si>
    <t>Connection</t>
  </si>
  <si>
    <t>PLC</t>
  </si>
  <si>
    <t>Port (102 default for PLC)</t>
  </si>
  <si>
    <t>IP Name/ IP Address</t>
  </si>
  <si>
    <t>Telegram spool</t>
  </si>
  <si>
    <t>Port No. (e.g. 102)</t>
  </si>
  <si>
    <t>KM config node (e.g. 161)</t>
  </si>
  <si>
    <t>vt_send (e.g. vtservsnd162)</t>
  </si>
  <si>
    <t>KM_copy</t>
  </si>
  <si>
    <t>Data telegram</t>
  </si>
  <si>
    <t>Trigger point/Event</t>
  </si>
  <si>
    <t>Spool/Teleg (e.g. TELE099)</t>
  </si>
  <si>
    <t>Manual events</t>
  </si>
  <si>
    <t xml:space="preserve">Tel No. </t>
  </si>
  <si>
    <t>Plant Code</t>
  </si>
  <si>
    <t>Version</t>
  </si>
  <si>
    <t>Author</t>
  </si>
  <si>
    <t>Changes</t>
  </si>
  <si>
    <t>KM-Partner (km-spool)</t>
  </si>
  <si>
    <t>Acknowledge spool</t>
  </si>
  <si>
    <t>IPS- Paramterization</t>
  </si>
  <si>
    <t>History/ Status</t>
  </si>
  <si>
    <t>Additional information/ Hardcopy</t>
  </si>
  <si>
    <t>What is the background of the process?/ Was ist der Hintergrund des Prozesses?</t>
  </si>
  <si>
    <t>Clarification of process flow/ Klärung des Prozessablaufs</t>
  </si>
  <si>
    <t>PC (ICOMM)</t>
  </si>
  <si>
    <t>RFC1006</t>
  </si>
  <si>
    <t>(iso on tcp)</t>
  </si>
  <si>
    <t>Plant Code (2-digits)</t>
  </si>
  <si>
    <t>Caption/ Legende</t>
  </si>
  <si>
    <t>92 /w9</t>
  </si>
  <si>
    <t>89/ 34</t>
  </si>
  <si>
    <t xml:space="preserve">Communication </t>
  </si>
  <si>
    <t>11</t>
  </si>
  <si>
    <t>General</t>
  </si>
  <si>
    <r>
      <rPr>
        <b/>
        <sz val="10"/>
        <color theme="0"/>
        <rFont val="Arial"/>
        <family val="2"/>
      </rPr>
      <t>W19.88</t>
    </r>
    <r>
      <rPr>
        <b/>
        <sz val="8"/>
        <color theme="0"/>
        <rFont val="Arial"/>
        <family val="2"/>
      </rPr>
      <t xml:space="preserve">
</t>
    </r>
    <r>
      <rPr>
        <sz val="8"/>
        <color theme="0"/>
        <rFont val="Arial"/>
        <family val="2"/>
      </rPr>
      <t>Tiexi</t>
    </r>
  </si>
  <si>
    <r>
      <rPr>
        <b/>
        <sz val="10"/>
        <color theme="0"/>
        <rFont val="Arial"/>
        <family val="2"/>
      </rPr>
      <t>W19.10</t>
    </r>
    <r>
      <rPr>
        <b/>
        <sz val="8"/>
        <color theme="0"/>
        <rFont val="Arial"/>
        <family val="2"/>
      </rPr>
      <t xml:space="preserve">
</t>
    </r>
    <r>
      <rPr>
        <sz val="8"/>
        <color theme="0"/>
        <rFont val="Arial"/>
        <family val="2"/>
      </rPr>
      <t>Dadong B.50</t>
    </r>
  </si>
  <si>
    <r>
      <rPr>
        <b/>
        <sz val="10"/>
        <color theme="0"/>
        <rFont val="Arial"/>
        <family val="2"/>
      </rPr>
      <t>W10</t>
    </r>
    <r>
      <rPr>
        <sz val="8"/>
        <color theme="0"/>
        <rFont val="Arial"/>
        <family val="2"/>
      </rPr>
      <t xml:space="preserve">
Spartanburg</t>
    </r>
  </si>
  <si>
    <r>
      <rPr>
        <b/>
        <sz val="10"/>
        <color theme="0"/>
        <rFont val="Arial"/>
        <family val="2"/>
      </rPr>
      <t>W9</t>
    </r>
    <r>
      <rPr>
        <b/>
        <sz val="8"/>
        <color theme="0"/>
        <rFont val="Arial"/>
        <family val="2"/>
      </rPr>
      <t xml:space="preserve">
</t>
    </r>
    <r>
      <rPr>
        <sz val="8"/>
        <color theme="0"/>
        <rFont val="Arial"/>
        <family val="2"/>
      </rPr>
      <t>Rosslyn</t>
    </r>
  </si>
  <si>
    <r>
      <rPr>
        <b/>
        <sz val="10"/>
        <color theme="0"/>
        <rFont val="Arial"/>
        <family val="2"/>
      </rPr>
      <t>W7</t>
    </r>
    <r>
      <rPr>
        <b/>
        <sz val="8"/>
        <color theme="0"/>
        <rFont val="Arial"/>
        <family val="2"/>
      </rPr>
      <t xml:space="preserve">
</t>
    </r>
    <r>
      <rPr>
        <sz val="8"/>
        <color theme="0"/>
        <rFont val="Arial"/>
        <family val="2"/>
      </rPr>
      <t>Leipzig</t>
    </r>
  </si>
  <si>
    <r>
      <rPr>
        <b/>
        <sz val="10"/>
        <color theme="0"/>
        <rFont val="Arial"/>
        <family val="2"/>
      </rPr>
      <t>W6</t>
    </r>
    <r>
      <rPr>
        <b/>
        <sz val="8"/>
        <color theme="0"/>
        <rFont val="Arial"/>
        <family val="2"/>
      </rPr>
      <t xml:space="preserve">
</t>
    </r>
    <r>
      <rPr>
        <sz val="8"/>
        <color theme="0"/>
        <rFont val="Arial"/>
        <family val="2"/>
      </rPr>
      <t>Regensburg</t>
    </r>
  </si>
  <si>
    <r>
      <rPr>
        <b/>
        <sz val="10"/>
        <color theme="0"/>
        <rFont val="Arial"/>
        <family val="2"/>
      </rPr>
      <t>W34</t>
    </r>
    <r>
      <rPr>
        <b/>
        <sz val="8"/>
        <color theme="0"/>
        <rFont val="Arial"/>
        <family val="2"/>
      </rPr>
      <t xml:space="preserve">
</t>
    </r>
    <r>
      <rPr>
        <sz val="8"/>
        <color theme="0"/>
        <rFont val="Arial"/>
        <family val="2"/>
      </rPr>
      <t>Oxford</t>
    </r>
  </si>
  <si>
    <r>
      <rPr>
        <b/>
        <sz val="10"/>
        <color theme="0"/>
        <rFont val="Arial"/>
        <family val="2"/>
      </rPr>
      <t>W2</t>
    </r>
    <r>
      <rPr>
        <b/>
        <sz val="8"/>
        <color theme="0"/>
        <rFont val="Arial"/>
        <family val="2"/>
      </rPr>
      <t xml:space="preserve">
</t>
    </r>
    <r>
      <rPr>
        <sz val="8"/>
        <color theme="0"/>
        <rFont val="Arial"/>
        <family val="2"/>
      </rPr>
      <t>Dingolfing</t>
    </r>
  </si>
  <si>
    <r>
      <rPr>
        <b/>
        <sz val="10"/>
        <color theme="0"/>
        <rFont val="Arial"/>
        <family val="2"/>
      </rPr>
      <t>W1</t>
    </r>
    <r>
      <rPr>
        <b/>
        <sz val="8"/>
        <color theme="0"/>
        <rFont val="Arial"/>
        <family val="2"/>
      </rPr>
      <t xml:space="preserve">
</t>
    </r>
    <r>
      <rPr>
        <sz val="8"/>
        <color theme="0"/>
        <rFont val="Arial"/>
        <family val="2"/>
      </rPr>
      <t>Munich</t>
    </r>
  </si>
  <si>
    <t>Facility specific Information/ Anlagenspezifische Informationation</t>
  </si>
  <si>
    <t>Process information/ Prozessbeschreibung</t>
  </si>
  <si>
    <t>The blue-marked cells are necessary to correctly fill in the telegram sheets!
Die blau-markierten Zellen sind zur richtigen Befüllung der Telegramme notwendig!</t>
  </si>
  <si>
    <t>Test date</t>
  </si>
  <si>
    <t>SOP date (interface go-live)</t>
  </si>
  <si>
    <t>Port information</t>
  </si>
  <si>
    <t>Key of data set</t>
  </si>
  <si>
    <t>Source facility (e.g. AKZ)</t>
  </si>
  <si>
    <t>Controls Planner</t>
  </si>
  <si>
    <t xml:space="preserve">IT Planner </t>
  </si>
  <si>
    <t>Short Description and AKZ + TPA/ Ticket (if available)</t>
  </si>
  <si>
    <t>Control room tel-number/ Störnummer</t>
  </si>
  <si>
    <r>
      <rPr>
        <b/>
        <sz val="10"/>
        <color theme="0"/>
        <rFont val="Arial"/>
        <family val="2"/>
      </rPr>
      <t>W35</t>
    </r>
    <r>
      <rPr>
        <b/>
        <sz val="8"/>
        <color theme="0"/>
        <rFont val="Arial"/>
        <family val="2"/>
      </rPr>
      <t xml:space="preserve">
</t>
    </r>
    <r>
      <rPr>
        <sz val="8"/>
        <color theme="0"/>
        <rFont val="Arial"/>
        <family val="2"/>
      </rPr>
      <t>Brasil</t>
    </r>
  </si>
  <si>
    <t>PLC_Connection_ID=2: RCF1006 Communication parameters Overview/ Kommunikationsparameter Überblick Werke</t>
  </si>
  <si>
    <t>TSAP PLC_local
ASCII (CP/ CPU)  ab 2014</t>
  </si>
  <si>
    <t>Destination / Ziel</t>
  </si>
  <si>
    <t>TMOAKZ01</t>
  </si>
  <si>
    <t>FG</t>
  </si>
  <si>
    <t>Description and  Ticket Number or TPA/ Anlagenbeschreibung und Ticketnummer oder TPA (falls verfügbar)</t>
  </si>
  <si>
    <t>Telegram requirements / Telegrammanforderungen</t>
  </si>
  <si>
    <t>102 is used as default port for all S7- facilities</t>
  </si>
  <si>
    <t>Please be aware, that for ICOMM you may need to use a differnt port.</t>
  </si>
  <si>
    <t>TSAP (local)</t>
  </si>
  <si>
    <t>TSAP, which is set up locally within the PLC for the partner connection TSAP der lokal in der SPS angelegt wird für den Verbindungspartner</t>
  </si>
  <si>
    <r>
      <rPr>
        <b/>
        <sz val="10"/>
        <rFont val="Arial"/>
        <family val="2"/>
      </rPr>
      <t>TSAP (remote)</t>
    </r>
    <r>
      <rPr>
        <sz val="10"/>
        <rFont val="Arial"/>
        <family val="2"/>
      </rPr>
      <t xml:space="preserve">
TSAP which is set up remotely on IPS-L side for the partner connection</t>
    </r>
  </si>
  <si>
    <t>TSAP der auf der System-Seite angelegt wird für den Verbindungspartner</t>
  </si>
  <si>
    <t>Facility specific interface contract IPS-Q
Anlagenspezifischer Schnittstellenkontrakt IPS-Q</t>
  </si>
  <si>
    <t>MONTIPSQ</t>
  </si>
  <si>
    <t>Signification  Source           - AKZ S7-Control</t>
  </si>
  <si>
    <t>Singification target system    MONTIPSQ    or   *****LPA</t>
  </si>
  <si>
    <t>17-24</t>
  </si>
  <si>
    <t>_ATTVAR_</t>
  </si>
  <si>
    <t>25-28</t>
  </si>
  <si>
    <t>KEIN</t>
  </si>
  <si>
    <t>29-42</t>
  </si>
  <si>
    <t>Q_AKZ</t>
  </si>
  <si>
    <t>Q_AKZ_SST00001</t>
  </si>
  <si>
    <t>43-44</t>
  </si>
  <si>
    <t>S7</t>
  </si>
  <si>
    <t>45-46</t>
  </si>
  <si>
    <t>47-54</t>
  </si>
  <si>
    <t>Identification number Component / Chassis</t>
  </si>
  <si>
    <t>55-70</t>
  </si>
  <si>
    <t>Aggregate_Einbau</t>
  </si>
  <si>
    <t>71-72</t>
  </si>
  <si>
    <t>B1-BlockID</t>
  </si>
  <si>
    <t>VOAX</t>
  </si>
  <si>
    <r>
      <t xml:space="preserve">running Number of this telegram  </t>
    </r>
    <r>
      <rPr>
        <sz val="10"/>
        <color rgb="FFFF0000"/>
        <rFont val="Arial"/>
        <family val="2"/>
      </rPr>
      <t>or</t>
    </r>
    <r>
      <rPr>
        <sz val="10"/>
        <color rgb="FFFF0000"/>
        <rFont val="Courier New"/>
        <family val="3"/>
      </rPr>
      <t xml:space="preserve"> </t>
    </r>
    <r>
      <rPr>
        <b/>
        <sz val="10"/>
        <color rgb="FFFF0000"/>
        <rFont val="Courier New"/>
        <family val="3"/>
      </rPr>
      <t>KEIN</t>
    </r>
  </si>
  <si>
    <t>Result Telegram _ATTVAR_</t>
  </si>
  <si>
    <t>1-8</t>
  </si>
  <si>
    <t>9-16</t>
  </si>
  <si>
    <t>IPS-Format</t>
  </si>
  <si>
    <t>Signification Source system    MONTIPSQ    or  *****LPA</t>
  </si>
  <si>
    <t>Signification Aim - AKZ of control</t>
  </si>
  <si>
    <t>Telegram name receipt ATTVAR</t>
  </si>
  <si>
    <t>29-32</t>
  </si>
  <si>
    <t>Acknowledgement Telegram _ATTVAR_</t>
  </si>
  <si>
    <t>Signification target system    MONTIPSQ    or   *****LPA</t>
  </si>
  <si>
    <t>TEILCODE</t>
  </si>
  <si>
    <t>_8STM_G2OUE1_</t>
  </si>
  <si>
    <t>Ident number Component / Chassis</t>
  </si>
  <si>
    <t>SCAN_M8SIMG04</t>
  </si>
  <si>
    <t>SPLI</t>
  </si>
  <si>
    <t>ABCDEFGH_____</t>
  </si>
  <si>
    <r>
      <t xml:space="preserve">running Number of this telegram  </t>
    </r>
    <r>
      <rPr>
        <sz val="10"/>
        <color rgb="FFFF0000"/>
        <rFont val="Arial"/>
        <family val="2"/>
      </rPr>
      <t xml:space="preserve">or </t>
    </r>
    <r>
      <rPr>
        <b/>
        <sz val="10"/>
        <color rgb="FFFF0000"/>
        <rFont val="Arial"/>
        <family val="2"/>
      </rPr>
      <t>KEIN</t>
    </r>
  </si>
  <si>
    <t>Transmission Components TEILCODE</t>
  </si>
  <si>
    <t>Signification  Source system          MONTIPSQ    or   *****LPA</t>
  </si>
  <si>
    <t>Signification target system                 - AKZ of control</t>
  </si>
  <si>
    <t>Telegram name receipt TEILCODE</t>
  </si>
  <si>
    <t>alpha</t>
  </si>
  <si>
    <t>Signification Source           - AKZ S7-Steuerung</t>
  </si>
  <si>
    <t>*****LPA</t>
  </si>
  <si>
    <t>****LIFE</t>
  </si>
  <si>
    <r>
      <t xml:space="preserve">running Number of this telegram  </t>
    </r>
    <r>
      <rPr>
        <sz val="10"/>
        <color rgb="FFFF0000"/>
        <rFont val="Arial"/>
        <family val="2"/>
      </rPr>
      <t>or KEIN</t>
    </r>
  </si>
  <si>
    <t>Signification  Source system  LPA</t>
  </si>
  <si>
    <t>Telegram name Receipt for LIFE Telegram</t>
  </si>
  <si>
    <t>running Number of receipted Telegrams</t>
  </si>
  <si>
    <t>Acknowledgement Connection Monitoring ****LIFE</t>
  </si>
  <si>
    <t>AcknowledgementTransmission Components TEILCODE</t>
  </si>
  <si>
    <t>Block 1</t>
  </si>
  <si>
    <t>73 - 74</t>
  </si>
  <si>
    <t>75 - 78</t>
  </si>
  <si>
    <t>79 - 80</t>
  </si>
  <si>
    <t>81 - 84</t>
  </si>
  <si>
    <t>Block Template for  TEILCODE</t>
  </si>
  <si>
    <t>73 - 76</t>
  </si>
  <si>
    <t>77 - 78</t>
  </si>
  <si>
    <t>79 - 98</t>
  </si>
  <si>
    <t>Anwahl Optionen</t>
  </si>
  <si>
    <t>Kopplung direkt über KM an IPS_Q</t>
  </si>
  <si>
    <t>Kopplung über LPA/LSA an IPS_Q</t>
  </si>
  <si>
    <t>Modus ohne / mit Quittung</t>
  </si>
  <si>
    <t xml:space="preserve">Lifetelegramme sind nur bei Kopplung uber LPA / LSA System vorgesehen. </t>
  </si>
  <si>
    <t>Um Probleme im Quittungsablauf zu vermeiden, sollte vorwiegend ohne Quittung gearbeitet werden.</t>
  </si>
  <si>
    <t>S7 = Format  is S7 (fix)</t>
  </si>
  <si>
    <t>0123</t>
  </si>
  <si>
    <t xml:space="preserve">running Number of receipted Telegrams </t>
  </si>
  <si>
    <t>20 * (Blocklänge = 26 Byte) + 72Byte Haeder -&gt; 592 Byte maximale Telegrammlänge</t>
  </si>
  <si>
    <t>Signification target system    *****LPA</t>
  </si>
  <si>
    <t>Connection Monitoring ****LIFE (only to LPA!)</t>
  </si>
  <si>
    <t>Life telegram is only used for connection to LPS/ LSA System</t>
  </si>
  <si>
    <t>++++LIFE</t>
  </si>
  <si>
    <t>To avoid problems within the acknowledgement process, acknowledgment telegrams are not recommended</t>
  </si>
  <si>
    <t>IPS-Q Destination</t>
  </si>
  <si>
    <t>Key of data set (OR/ FG/ FZ)</t>
  </si>
  <si>
    <t xml:space="preserve">OR= Order number/ Auftragsnummer
FZ= FZS number/ Fahrzeugsteuerschlüssel
FG= Vin number/ Fahrgestellnummer
</t>
  </si>
  <si>
    <t>active</t>
  </si>
  <si>
    <t>passive</t>
  </si>
  <si>
    <t>(Partner)</t>
  </si>
  <si>
    <t>TSAP remote (IPS-Q)</t>
  </si>
  <si>
    <t>TSAP PLC local = AKZ</t>
  </si>
  <si>
    <t>(Local)</t>
  </si>
  <si>
    <t>TELNAME</t>
  </si>
  <si>
    <t>ACKNO</t>
  </si>
  <si>
    <t>TYPE</t>
  </si>
  <si>
    <t>KEY-TYPE</t>
  </si>
  <si>
    <t>KEY</t>
  </si>
  <si>
    <t>IDENTIFIER</t>
  </si>
  <si>
    <t>NUMBER</t>
  </si>
  <si>
    <t>STATUS</t>
  </si>
  <si>
    <t>SOURCE</t>
  </si>
  <si>
    <t>DESTINATION</t>
  </si>
  <si>
    <t>TSAP PLC_remote (on IPS-Q)</t>
  </si>
  <si>
    <r>
      <rPr>
        <b/>
        <sz val="10"/>
        <color theme="0"/>
        <rFont val="Arial"/>
        <family val="2"/>
      </rPr>
      <t>W19.10</t>
    </r>
    <r>
      <rPr>
        <b/>
        <sz val="8"/>
        <color theme="0"/>
        <rFont val="Arial"/>
        <family val="2"/>
      </rPr>
      <t xml:space="preserve">
</t>
    </r>
    <r>
      <rPr>
        <sz val="8"/>
        <color theme="0"/>
        <rFont val="Arial"/>
        <family val="2"/>
      </rPr>
      <t>Dadong B.52</t>
    </r>
  </si>
  <si>
    <r>
      <rPr>
        <b/>
        <sz val="10"/>
        <color theme="0"/>
        <rFont val="Arial"/>
        <family val="2"/>
      </rPr>
      <t>W19.10</t>
    </r>
    <r>
      <rPr>
        <b/>
        <sz val="8"/>
        <color theme="0"/>
        <rFont val="Arial"/>
        <family val="2"/>
      </rPr>
      <t xml:space="preserve">
</t>
    </r>
    <r>
      <rPr>
        <sz val="8"/>
        <color theme="0"/>
        <rFont val="Arial"/>
        <family val="2"/>
      </rPr>
      <t>Dadong B.55</t>
    </r>
  </si>
  <si>
    <t>IPSQ1915</t>
  </si>
  <si>
    <r>
      <rPr>
        <b/>
        <sz val="10"/>
        <color theme="0"/>
        <rFont val="Arial"/>
        <family val="2"/>
      </rPr>
      <t>W30</t>
    </r>
    <r>
      <rPr>
        <sz val="8"/>
        <color theme="0"/>
        <rFont val="Arial"/>
        <family val="2"/>
      </rPr>
      <t xml:space="preserve">
San Luis Potosi</t>
    </r>
  </si>
  <si>
    <t>additional plants included (Dadong B.55 &amp; San Luis Potosi W30)</t>
  </si>
  <si>
    <t xml:space="preserve">Detailanpassungen </t>
  </si>
  <si>
    <t>2.0</t>
  </si>
  <si>
    <t>IO__</t>
  </si>
  <si>
    <t>Station identification code of SST Process Station</t>
  </si>
  <si>
    <t>FZ=VIN / FG / OR=Ordernr.</t>
  </si>
  <si>
    <t>Tester – Fix Entry after Agreement</t>
  </si>
  <si>
    <t>Station identification code of Process Station</t>
  </si>
  <si>
    <t>FZ=VIN/ FG / OR=Ordernr.</t>
  </si>
  <si>
    <t>Tester - Fix Entry according to Agreement</t>
  </si>
  <si>
    <t>Textkorrekturen Message-Boxen; Anpassung Beispieleinträge gemäß Feldlängen; DB-Nr. Hinweise für TMOV3 entfernt; Textkorrekturen; Blanks durch "_" ersetzt für Ergebniseinträge ('NIO ' -&gt; 'NIO_')</t>
  </si>
  <si>
    <t>Transmission Components TEILCO2D</t>
  </si>
  <si>
    <t>TEILCO2D</t>
  </si>
  <si>
    <t>79 - 138</t>
  </si>
  <si>
    <t>Block Template for  TEILCO2D</t>
  </si>
  <si>
    <t>Telegram name receipt TEILCO2D</t>
  </si>
  <si>
    <t>Number of result blocks</t>
  </si>
  <si>
    <t>AcknowledgementTransmission Components TEILCO2D</t>
  </si>
  <si>
    <t>amount of blocks</t>
  </si>
  <si>
    <t>Block 2</t>
  </si>
  <si>
    <t>20 * (Blocklänge = 12 Byte) + 72Byte Haeder -&gt; 312 Byte maximale Telegrammlänge</t>
  </si>
  <si>
    <t>20 * (Blocklänge = 66 Byte) + 72Byte Haeder -&gt; 1392 Byte maximale Telegrammlänge</t>
  </si>
  <si>
    <t>Block Template for _ATTVAR_</t>
  </si>
  <si>
    <t>Block 1 Block-ID for Component 1</t>
  </si>
  <si>
    <t>Block 1 Number of Attributes for Test, here fix '01'</t>
  </si>
  <si>
    <t>Block 1 Identification number of Sensor (Scanner)</t>
  </si>
  <si>
    <t>Number of result blocks, max. 20 blocks</t>
  </si>
  <si>
    <t>Program number, here fix = '01'</t>
  </si>
  <si>
    <t>Block-ID for joint condition</t>
  </si>
  <si>
    <t>Number of results, here fix = '01'</t>
  </si>
  <si>
    <t>Result joint condition, 'IO__' / 'NIO_' / 'IOB_' / 'NIOB'</t>
  </si>
  <si>
    <t>Number of Attributes for Test, here fix '01'</t>
  </si>
  <si>
    <t>Identification number of Sensor (Scanner)</t>
  </si>
  <si>
    <t>Block-ID for Component</t>
  </si>
  <si>
    <t>Identification number of Sensor (2D Scanner)</t>
  </si>
  <si>
    <t>Block 1 Program number, here fix = '01'</t>
  </si>
  <si>
    <t>Block 1 Block-ID for joint condition</t>
  </si>
  <si>
    <t>Block 1 Number of results, here fix = '01'</t>
  </si>
  <si>
    <t>Block 2 Program number, here fix = '01'</t>
  </si>
  <si>
    <t>Block 2 Block-ID for joint condition</t>
  </si>
  <si>
    <t>Block 2 Number of results, here fix = '01'</t>
  </si>
  <si>
    <t>Block 1 Identification number of Sensor (2D Scanner)</t>
  </si>
  <si>
    <t>PRG</t>
  </si>
  <si>
    <t>BlockID</t>
  </si>
  <si>
    <t>Count</t>
  </si>
  <si>
    <t>Ergeb</t>
  </si>
  <si>
    <t>Article number</t>
  </si>
  <si>
    <t>2D-Code</t>
  </si>
  <si>
    <t>B1-Count</t>
  </si>
  <si>
    <t>B1_Article number</t>
  </si>
  <si>
    <t>B1-2D-Code</t>
  </si>
  <si>
    <t>TEILCO2D Telegramm ergänzt; Texteinträge der Ergebnisblöcke werden aus 'Block Template' Einträgen generiert</t>
  </si>
  <si>
    <t>BMW Group</t>
  </si>
  <si>
    <r>
      <rPr>
        <b/>
        <sz val="10"/>
        <color theme="1"/>
        <rFont val="BMW Group Condensed"/>
        <family val="2"/>
      </rPr>
      <t>Unterlagenklasse / Class of documents :</t>
    </r>
    <r>
      <rPr>
        <sz val="10"/>
        <color theme="1"/>
        <rFont val="BMW Group Condensed"/>
        <family val="2"/>
      </rPr>
      <t xml:space="preserve"> 7.1</t>
    </r>
  </si>
  <si>
    <r>
      <rPr>
        <b/>
        <sz val="10"/>
        <color theme="1"/>
        <rFont val="BMW Group Condensed"/>
        <family val="2"/>
      </rPr>
      <t>Nr.</t>
    </r>
    <r>
      <rPr>
        <sz val="10"/>
        <color theme="1"/>
        <rFont val="BMW Group Condensed"/>
        <family val="2"/>
      </rPr>
      <t>: E_10.03.1</t>
    </r>
  </si>
  <si>
    <r>
      <rPr>
        <b/>
        <sz val="10"/>
        <color theme="1"/>
        <rFont val="BMW Group Condensed"/>
        <family val="2"/>
      </rPr>
      <t>Gültigkeitsbereich / Valid for:</t>
    </r>
    <r>
      <rPr>
        <sz val="10"/>
        <color theme="1"/>
        <rFont val="BMW Group Condensed"/>
        <family val="2"/>
      </rPr>
      <t xml:space="preserve"> Technologie Montage / technology final assembly</t>
    </r>
  </si>
  <si>
    <r>
      <rPr>
        <b/>
        <sz val="10"/>
        <color rgb="FFFF0000"/>
        <rFont val="BMW Group Condensed"/>
        <family val="2"/>
      </rPr>
      <t>Version / Revision:</t>
    </r>
    <r>
      <rPr>
        <sz val="10"/>
        <color rgb="FFFF0000"/>
        <rFont val="BMW Group Condensed"/>
        <family val="2"/>
      </rPr>
      <t xml:space="preserve"> 2.1        </t>
    </r>
  </si>
  <si>
    <r>
      <rPr>
        <b/>
        <sz val="10"/>
        <color theme="1"/>
        <rFont val="BMW Group Condensed"/>
        <family val="2"/>
      </rPr>
      <t>Status:</t>
    </r>
    <r>
      <rPr>
        <sz val="10"/>
        <color theme="1"/>
        <rFont val="BMW Group Condensed"/>
        <family val="2"/>
      </rPr>
      <t xml:space="preserve">
Valid</t>
    </r>
  </si>
  <si>
    <t>Beteiligte Personen/Fachstellen/Gremien :  
Involved persons/department/committees:</t>
  </si>
  <si>
    <t>Fachteam Steuerungstechnik</t>
  </si>
  <si>
    <t>Änderungshistorie / changes</t>
  </si>
  <si>
    <t>Version / Revision</t>
  </si>
  <si>
    <t>Bemerkung / Remarks</t>
  </si>
  <si>
    <t>Ersteller  / Written by
Kurzzeichen / Department
Datum / Date</t>
  </si>
  <si>
    <t>Prüfer / Validated by
Kurzzeichen / Department
Datum / Date</t>
  </si>
  <si>
    <t>Freigeber / Released on
Kurzzeichen / Department
Datum / Date</t>
  </si>
  <si>
    <t>2.1</t>
  </si>
  <si>
    <t>T. Berger, TP-412, 25.04.2018</t>
  </si>
  <si>
    <t>Lenkungsinformationen eingefügt</t>
  </si>
  <si>
    <t>S. Brauner, TP-412, 17.08.2017</t>
  </si>
  <si>
    <t>D. Hammerschmidt, TP-471, 17.08.2017</t>
  </si>
  <si>
    <t>H. Schwenk, TP-461, 17.08.2017</t>
  </si>
  <si>
    <t>1.4</t>
  </si>
  <si>
    <t>M. Ulrich, TP-412, 12.05.2017</t>
  </si>
  <si>
    <t>1.3</t>
  </si>
  <si>
    <t>M. Ulrich, TP-412, 10.05.2017</t>
  </si>
  <si>
    <t>1.2</t>
  </si>
  <si>
    <t>C. Harnik, TP-440, 01.12.2015</t>
  </si>
  <si>
    <t>1.1</t>
  </si>
  <si>
    <t>A. Wegerer, TR-413, 12.09.2014</t>
  </si>
  <si>
    <t>1.0</t>
  </si>
  <si>
    <t>Initial draft</t>
  </si>
  <si>
    <t>C. Harnik, TP-440, 18.08.2014</t>
  </si>
  <si>
    <t>B1 Note</t>
  </si>
  <si>
    <t>B1 Result</t>
  </si>
  <si>
    <t>B1 Article number</t>
  </si>
  <si>
    <t>B1 Count</t>
  </si>
  <si>
    <t>B1 BlockID</t>
  </si>
  <si>
    <t>0 / 20</t>
  </si>
  <si>
    <t>B2 Note</t>
  </si>
  <si>
    <t xml:space="preserve">85 - 86 / 105 - 106 </t>
  </si>
  <si>
    <t>87 - 90 / 107 - 110</t>
  </si>
  <si>
    <t>91 - 92 / 111 - 112</t>
  </si>
  <si>
    <t>93 - 96 / 113 - 116</t>
  </si>
  <si>
    <t>Block n</t>
  </si>
  <si>
    <t>B2 Article number</t>
  </si>
  <si>
    <t>B2 Ergeb</t>
  </si>
  <si>
    <t>B2 Count</t>
  </si>
  <si>
    <t>B2 BlockID</t>
  </si>
  <si>
    <t>Block n Program number, here fix = '01'</t>
  </si>
  <si>
    <t>Block n Block-ID for joint condition</t>
  </si>
  <si>
    <t>Block n Number of results, here fix = '01'</t>
  </si>
  <si>
    <t xml:space="preserve">TEILCOD2D (Änderung 1.4) nachgepflegt;
_ATTVAR_ Bemerkung ergänzt
</t>
  </si>
  <si>
    <t>Block 1 Result joint condition, 'IO  ' / 'NIO ' / 'IOB ' / 'NIOB'</t>
  </si>
  <si>
    <t>Block 2 Result joint condition, 'IO ' / 'NIO ' / 'IOB ' / 'NIOB'</t>
  </si>
  <si>
    <t>Block n Result joint condition, 'IO  ' / 'NIO ' / 'IOB ' / 'NIOB'</t>
  </si>
  <si>
    <t xml:space="preserve">IO  </t>
  </si>
  <si>
    <t>Machine is not paid</t>
  </si>
  <si>
    <t>Block 1 Result note, length = 0 if result is IO or NIO,
length = 20 (filled with blanks) if result is IOB or NIOB</t>
  </si>
  <si>
    <t>Block 2 Result note, length = 0 if result is IO or NIO,
length = 20 (filled with blanks) if result is IOB or NIOB</t>
  </si>
  <si>
    <t>Block n Result note, length = 0 if result is IO or NIO,
length = 20 (filled with blanks) if result is IOB or NIOB</t>
  </si>
  <si>
    <r>
      <t>B</t>
    </r>
    <r>
      <rPr>
        <b/>
        <sz val="10"/>
        <color rgb="FFFF0000"/>
        <rFont val="Arial"/>
        <family val="2"/>
      </rPr>
      <t>n</t>
    </r>
    <r>
      <rPr>
        <sz val="10"/>
        <color rgb="FFFF0000"/>
        <rFont val="Arial"/>
        <family val="2"/>
      </rPr>
      <t xml:space="preserve"> PRG</t>
    </r>
  </si>
  <si>
    <r>
      <t>B</t>
    </r>
    <r>
      <rPr>
        <b/>
        <sz val="10"/>
        <color rgb="FFFF0000"/>
        <rFont val="Arial"/>
        <family val="2"/>
      </rPr>
      <t>n</t>
    </r>
    <r>
      <rPr>
        <sz val="10"/>
        <color rgb="FFFF0000"/>
        <rFont val="Arial"/>
        <family val="2"/>
      </rPr>
      <t xml:space="preserve"> BlockID</t>
    </r>
  </si>
  <si>
    <r>
      <t>B</t>
    </r>
    <r>
      <rPr>
        <b/>
        <sz val="10"/>
        <color rgb="FFFF0000"/>
        <rFont val="Arial"/>
        <family val="2"/>
      </rPr>
      <t>n</t>
    </r>
    <r>
      <rPr>
        <sz val="10"/>
        <color rgb="FFFF0000"/>
        <rFont val="Arial"/>
        <family val="2"/>
      </rPr>
      <t xml:space="preserve"> Count</t>
    </r>
  </si>
  <si>
    <r>
      <t>B</t>
    </r>
    <r>
      <rPr>
        <b/>
        <sz val="10"/>
        <color rgb="FFFF0000"/>
        <rFont val="Arial"/>
        <family val="2"/>
      </rPr>
      <t>n</t>
    </r>
    <r>
      <rPr>
        <sz val="10"/>
        <color rgb="FFFF0000"/>
        <rFont val="Arial"/>
        <family val="2"/>
      </rPr>
      <t xml:space="preserve"> Ergeb</t>
    </r>
  </si>
  <si>
    <r>
      <t>B</t>
    </r>
    <r>
      <rPr>
        <b/>
        <sz val="10"/>
        <color rgb="FFFF0000"/>
        <rFont val="Arial"/>
        <family val="2"/>
      </rPr>
      <t>n</t>
    </r>
    <r>
      <rPr>
        <sz val="10"/>
        <color rgb="FFFF0000"/>
        <rFont val="Arial"/>
        <family val="2"/>
      </rPr>
      <t xml:space="preserve"> Note</t>
    </r>
  </si>
  <si>
    <r>
      <t xml:space="preserve">(n </t>
    </r>
    <r>
      <rPr>
        <sz val="10"/>
        <color rgb="FFFF0000"/>
        <rFont val="Arial"/>
        <family val="2"/>
      </rPr>
      <t>= 1..20</t>
    </r>
    <r>
      <rPr>
        <b/>
        <sz val="10"/>
        <color rgb="FFFF0000"/>
        <rFont val="Arial"/>
        <family val="2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</si>
</sst>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Courier New"/>
      <family val="3"/>
    </font>
    <font>
      <b/>
      <sz val="12"/>
      <name val="Arial"/>
      <family val="2"/>
    </font>
    <font>
      <b/>
      <sz val="14"/>
      <name val="Arial"/>
      <family val="2"/>
    </font>
    <font>
      <sz val="10"/>
      <color rgb="FFFF0000"/>
      <name val="Arial"/>
      <family val="2"/>
    </font>
    <font>
      <b/>
      <sz val="10"/>
      <color theme="4"/>
      <name val="BMWType V2 Light"/>
    </font>
    <font>
      <b/>
      <sz val="11"/>
      <color theme="0"/>
      <name val="Arial"/>
      <family val="2"/>
    </font>
    <font>
      <b/>
      <sz val="12"/>
      <color theme="0"/>
      <name val="Arial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sz val="8"/>
      <color theme="0"/>
      <name val="Arial"/>
      <family val="2"/>
    </font>
    <font>
      <sz val="14"/>
      <name val="BMWType V2 Bold"/>
    </font>
    <font>
      <sz val="10"/>
      <color rgb="FFFF0000"/>
      <name val="Courier New"/>
      <family val="3"/>
    </font>
    <font>
      <b/>
      <sz val="10"/>
      <color rgb="FFFF0000"/>
      <name val="Courier New"/>
      <family val="3"/>
    </font>
    <font>
      <b/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BMW Group Condensed"/>
      <family val="2"/>
    </font>
    <font>
      <sz val="10"/>
      <color theme="1"/>
      <name val="BMW Group Condensed"/>
      <family val="2"/>
    </font>
    <font>
      <sz val="10"/>
      <color rgb="FFFF0000"/>
      <name val="BMW Group Condensed"/>
      <family val="2"/>
    </font>
    <font>
      <b/>
      <sz val="10"/>
      <color rgb="FFFF0000"/>
      <name val="BMW Group Condensed"/>
      <family val="2"/>
    </font>
    <font>
      <b/>
      <sz val="12"/>
      <color theme="1"/>
      <name val="BMW Group Condensed"/>
      <family val="2"/>
    </font>
    <font>
      <b/>
      <sz val="12"/>
      <color rgb="FF000000"/>
      <name val="BMW Group Condensed"/>
      <family val="2"/>
    </font>
    <font>
      <sz val="10"/>
      <color rgb="FF000000"/>
      <name val="BMW Group Condensed"/>
      <family val="2"/>
    </font>
    <font>
      <sz val="9"/>
      <color rgb="FFFF0000"/>
      <name val="BMW Group Condensed"/>
      <family val="2"/>
    </font>
    <font>
      <sz val="9"/>
      <color theme="1"/>
      <name val="BMW Group Condensed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4DCF8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1499984740745262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3" fillId="0" borderId="0"/>
    <xf numFmtId="0" fontId="4" fillId="0" borderId="0"/>
    <xf numFmtId="0" fontId="2" fillId="0" borderId="0"/>
    <xf numFmtId="0" fontId="4" fillId="0" borderId="0"/>
    <xf numFmtId="0" fontId="21" fillId="0" borderId="0"/>
    <xf numFmtId="0" fontId="1" fillId="0" borderId="0"/>
  </cellStyleXfs>
  <cellXfs count="202">
    <xf numFmtId="0" fontId="0" fillId="0" borderId="0" xfId="0"/>
    <xf numFmtId="0" fontId="0" fillId="0" borderId="0" xfId="0"/>
    <xf numFmtId="0" fontId="4" fillId="0" borderId="0" xfId="0" applyFont="1"/>
    <xf numFmtId="0" fontId="4" fillId="0" borderId="0" xfId="0" applyFont="1" applyAlignment="1">
      <alignment horizontal="left"/>
    </xf>
    <xf numFmtId="0" fontId="0" fillId="0" borderId="0" xfId="0" applyFill="1"/>
    <xf numFmtId="0" fontId="0" fillId="5" borderId="0" xfId="0" applyFill="1"/>
    <xf numFmtId="0" fontId="4" fillId="5" borderId="0" xfId="0" applyFont="1" applyFill="1"/>
    <xf numFmtId="0" fontId="4" fillId="4" borderId="0" xfId="0" applyFont="1" applyFill="1" applyBorder="1"/>
    <xf numFmtId="0" fontId="4" fillId="0" borderId="0" xfId="0" applyFont="1" applyFill="1"/>
    <xf numFmtId="0" fontId="0" fillId="3" borderId="0" xfId="0" applyFill="1"/>
    <xf numFmtId="0" fontId="4" fillId="3" borderId="4" xfId="0" applyFont="1" applyFill="1" applyBorder="1"/>
    <xf numFmtId="0" fontId="0" fillId="3" borderId="4" xfId="0" applyFill="1" applyBorder="1" applyAlignment="1">
      <alignment horizontal="left"/>
    </xf>
    <xf numFmtId="0" fontId="8" fillId="0" borderId="0" xfId="0" applyFont="1" applyFill="1"/>
    <xf numFmtId="0" fontId="4" fillId="3" borderId="0" xfId="0" applyFont="1" applyFill="1" applyBorder="1"/>
    <xf numFmtId="0" fontId="4" fillId="3" borderId="0" xfId="0" applyFont="1" applyFill="1" applyAlignment="1">
      <alignment horizontal="left"/>
    </xf>
    <xf numFmtId="0" fontId="4" fillId="3" borderId="0" xfId="0" applyFont="1" applyFill="1"/>
    <xf numFmtId="14" fontId="0" fillId="3" borderId="4" xfId="0" applyNumberFormat="1" applyFill="1" applyBorder="1" applyAlignment="1">
      <alignment horizontal="left"/>
    </xf>
    <xf numFmtId="0" fontId="0" fillId="0" borderId="0" xfId="0" applyAlignment="1">
      <alignment horizontal="left"/>
    </xf>
    <xf numFmtId="0" fontId="0" fillId="5" borderId="0" xfId="0" applyFill="1" applyAlignment="1">
      <alignment horizontal="left"/>
    </xf>
    <xf numFmtId="0" fontId="0" fillId="0" borderId="0" xfId="0" applyFill="1" applyAlignment="1">
      <alignment horizontal="left"/>
    </xf>
    <xf numFmtId="0" fontId="5" fillId="3" borderId="4" xfId="0" applyFont="1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0" xfId="0" applyFill="1" applyBorder="1"/>
    <xf numFmtId="0" fontId="0" fillId="4" borderId="9" xfId="0" applyFill="1" applyBorder="1"/>
    <xf numFmtId="0" fontId="5" fillId="4" borderId="0" xfId="0" applyFont="1" applyFill="1" applyBorder="1"/>
    <xf numFmtId="0" fontId="4" fillId="4" borderId="0" xfId="0" applyFont="1" applyFill="1" applyBorder="1" applyAlignment="1">
      <alignment horizontal="left"/>
    </xf>
    <xf numFmtId="0" fontId="0" fillId="4" borderId="10" xfId="0" applyFill="1" applyBorder="1"/>
    <xf numFmtId="0" fontId="0" fillId="4" borderId="11" xfId="0" applyFill="1" applyBorder="1"/>
    <xf numFmtId="0" fontId="4" fillId="4" borderId="11" xfId="0" applyFont="1" applyFill="1" applyBorder="1"/>
    <xf numFmtId="0" fontId="4" fillId="4" borderId="11" xfId="0" applyFont="1" applyFill="1" applyBorder="1" applyAlignment="1">
      <alignment horizontal="left"/>
    </xf>
    <xf numFmtId="0" fontId="0" fillId="4" borderId="12" xfId="0" applyFill="1" applyBorder="1"/>
    <xf numFmtId="0" fontId="0" fillId="4" borderId="6" xfId="0" applyFill="1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3" borderId="0" xfId="0" applyFill="1" applyBorder="1"/>
    <xf numFmtId="0" fontId="5" fillId="4" borderId="0" xfId="0" applyFont="1" applyFill="1" applyBorder="1" applyAlignment="1">
      <alignment horizontal="center"/>
    </xf>
    <xf numFmtId="0" fontId="4" fillId="4" borderId="0" xfId="0" applyFont="1" applyFill="1" applyBorder="1" applyAlignment="1">
      <alignment vertical="top"/>
    </xf>
    <xf numFmtId="0" fontId="4" fillId="3" borderId="4" xfId="0" applyFont="1" applyFill="1" applyBorder="1" applyAlignment="1"/>
    <xf numFmtId="0" fontId="4" fillId="3" borderId="4" xfId="0" applyFont="1" applyFill="1" applyBorder="1" applyAlignment="1">
      <alignment horizontal="left"/>
    </xf>
    <xf numFmtId="0" fontId="5" fillId="4" borderId="0" xfId="0" applyFont="1" applyFill="1" applyBorder="1" applyAlignment="1">
      <alignment horizontal="right"/>
    </xf>
    <xf numFmtId="0" fontId="12" fillId="6" borderId="4" xfId="0" applyFont="1" applyFill="1" applyBorder="1" applyAlignment="1">
      <alignment horizontal="center"/>
    </xf>
    <xf numFmtId="0" fontId="13" fillId="6" borderId="4" xfId="0" applyFont="1" applyFill="1" applyBorder="1" applyAlignment="1">
      <alignment horizontal="center"/>
    </xf>
    <xf numFmtId="0" fontId="12" fillId="6" borderId="4" xfId="0" applyFont="1" applyFill="1" applyBorder="1" applyAlignment="1"/>
    <xf numFmtId="0" fontId="0" fillId="0" borderId="0" xfId="0" applyAlignment="1">
      <alignment vertical="top"/>
    </xf>
    <xf numFmtId="0" fontId="4" fillId="4" borderId="0" xfId="0" applyFont="1" applyFill="1" applyBorder="1" applyAlignment="1"/>
    <xf numFmtId="0" fontId="15" fillId="6" borderId="4" xfId="0" applyFont="1" applyFill="1" applyBorder="1" applyAlignment="1">
      <alignment wrapText="1"/>
    </xf>
    <xf numFmtId="0" fontId="16" fillId="6" borderId="4" xfId="0" applyFont="1" applyFill="1" applyBorder="1" applyAlignment="1">
      <alignment wrapText="1"/>
    </xf>
    <xf numFmtId="0" fontId="11" fillId="0" borderId="0" xfId="0" applyFont="1" applyAlignment="1">
      <alignment vertical="top"/>
    </xf>
    <xf numFmtId="0" fontId="0" fillId="2" borderId="5" xfId="0" applyFill="1" applyBorder="1"/>
    <xf numFmtId="0" fontId="5" fillId="2" borderId="6" xfId="0" applyFont="1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0" xfId="0" applyFill="1" applyBorder="1"/>
    <xf numFmtId="0" fontId="0" fillId="2" borderId="12" xfId="0" applyFill="1" applyBorder="1"/>
    <xf numFmtId="0" fontId="0" fillId="2" borderId="10" xfId="0" applyFill="1" applyBorder="1"/>
    <xf numFmtId="0" fontId="0" fillId="2" borderId="11" xfId="0" applyFill="1" applyBorder="1"/>
    <xf numFmtId="0" fontId="6" fillId="2" borderId="0" xfId="0" applyFont="1" applyFill="1" applyBorder="1"/>
    <xf numFmtId="0" fontId="17" fillId="0" borderId="0" xfId="0" applyFont="1" applyAlignment="1">
      <alignment horizontal="left" vertical="center" wrapText="1"/>
    </xf>
    <xf numFmtId="0" fontId="6" fillId="7" borderId="4" xfId="0" applyFont="1" applyFill="1" applyBorder="1" applyAlignment="1">
      <alignment vertical="center"/>
    </xf>
    <xf numFmtId="0" fontId="6" fillId="7" borderId="4" xfId="0" applyFont="1" applyFill="1" applyBorder="1" applyAlignment="1">
      <alignment vertical="center" wrapText="1"/>
    </xf>
    <xf numFmtId="49" fontId="6" fillId="7" borderId="4" xfId="0" applyNumberFormat="1" applyFont="1" applyFill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5" fillId="2" borderId="0" xfId="0" applyFont="1" applyFill="1" applyBorder="1" applyAlignment="1"/>
    <xf numFmtId="0" fontId="8" fillId="4" borderId="5" xfId="0" applyFont="1" applyFill="1" applyBorder="1"/>
    <xf numFmtId="0" fontId="8" fillId="4" borderId="8" xfId="0" applyFont="1" applyFill="1" applyBorder="1"/>
    <xf numFmtId="0" fontId="4" fillId="4" borderId="6" xfId="0" applyFont="1" applyFill="1" applyBorder="1"/>
    <xf numFmtId="0" fontId="0" fillId="0" borderId="0" xfId="0" applyBorder="1"/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0" fontId="0" fillId="2" borderId="0" xfId="0" applyFill="1" applyBorder="1" applyAlignment="1">
      <alignment vertical="top"/>
    </xf>
    <xf numFmtId="0" fontId="0" fillId="2" borderId="0" xfId="0" applyFill="1" applyBorder="1" applyAlignment="1">
      <alignment wrapText="1"/>
    </xf>
    <xf numFmtId="0" fontId="5" fillId="2" borderId="6" xfId="0" applyFont="1" applyFill="1" applyBorder="1" applyAlignment="1"/>
    <xf numFmtId="0" fontId="5" fillId="4" borderId="6" xfId="0" applyFont="1" applyFill="1" applyBorder="1"/>
    <xf numFmtId="0" fontId="5" fillId="2" borderId="0" xfId="0" applyFont="1" applyFill="1" applyBorder="1"/>
    <xf numFmtId="0" fontId="4" fillId="2" borderId="0" xfId="0" applyFont="1" applyFill="1" applyBorder="1" applyAlignment="1">
      <alignment vertical="top"/>
    </xf>
    <xf numFmtId="0" fontId="4" fillId="2" borderId="0" xfId="0" applyFont="1" applyFill="1" applyAlignment="1">
      <alignment vertical="top"/>
    </xf>
    <xf numFmtId="0" fontId="4" fillId="4" borderId="0" xfId="0" applyFont="1" applyFill="1" applyBorder="1" applyAlignment="1">
      <alignment horizontal="left" vertical="top"/>
    </xf>
    <xf numFmtId="0" fontId="4" fillId="2" borderId="0" xfId="0" applyFont="1" applyFill="1" applyBorder="1" applyAlignment="1">
      <alignment horizontal="left" vertical="top" wrapText="1"/>
    </xf>
    <xf numFmtId="0" fontId="4" fillId="4" borderId="6" xfId="0" applyFont="1" applyFill="1" applyBorder="1" applyAlignment="1"/>
    <xf numFmtId="0" fontId="4" fillId="4" borderId="11" xfId="0" applyFont="1" applyFill="1" applyBorder="1" applyAlignment="1">
      <alignment wrapText="1"/>
    </xf>
    <xf numFmtId="0" fontId="5" fillId="2" borderId="0" xfId="0" applyFon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4" fillId="9" borderId="4" xfId="0" applyFont="1" applyFill="1" applyBorder="1" applyAlignment="1">
      <alignment horizontal="justify" vertical="center" wrapText="1"/>
    </xf>
    <xf numFmtId="0" fontId="4" fillId="11" borderId="4" xfId="0" applyFont="1" applyFill="1" applyBorder="1" applyAlignment="1">
      <alignment horizontal="justify" vertical="center" wrapText="1"/>
    </xf>
    <xf numFmtId="0" fontId="4" fillId="12" borderId="4" xfId="0" applyFont="1" applyFill="1" applyBorder="1" applyAlignment="1">
      <alignment horizontal="justify" vertical="center" wrapText="1"/>
    </xf>
    <xf numFmtId="0" fontId="4" fillId="13" borderId="4" xfId="0" applyFont="1" applyFill="1" applyBorder="1" applyAlignment="1">
      <alignment horizontal="justify" vertical="center" wrapText="1"/>
    </xf>
    <xf numFmtId="0" fontId="7" fillId="13" borderId="4" xfId="0" applyFont="1" applyFill="1" applyBorder="1" applyAlignment="1">
      <alignment horizontal="justify" vertical="center" wrapText="1"/>
    </xf>
    <xf numFmtId="49" fontId="7" fillId="13" borderId="4" xfId="0" applyNumberFormat="1" applyFont="1" applyFill="1" applyBorder="1" applyAlignment="1">
      <alignment horizontal="justify" vertical="center" wrapText="1"/>
    </xf>
    <xf numFmtId="0" fontId="4" fillId="0" borderId="4" xfId="0" applyFont="1" applyBorder="1" applyAlignment="1">
      <alignment horizontal="justify" vertical="center" wrapText="1"/>
    </xf>
    <xf numFmtId="0" fontId="7" fillId="0" borderId="4" xfId="0" applyFont="1" applyBorder="1" applyAlignment="1">
      <alignment horizontal="justify" vertical="center" wrapText="1"/>
    </xf>
    <xf numFmtId="0" fontId="4" fillId="0" borderId="4" xfId="0" applyFont="1" applyBorder="1" applyAlignment="1">
      <alignment vertical="center"/>
    </xf>
    <xf numFmtId="49" fontId="4" fillId="9" borderId="4" xfId="0" applyNumberFormat="1" applyFont="1" applyFill="1" applyBorder="1" applyAlignment="1">
      <alignment horizontal="justify" vertical="center" wrapText="1"/>
    </xf>
    <xf numFmtId="0" fontId="7" fillId="9" borderId="4" xfId="0" applyFont="1" applyFill="1" applyBorder="1" applyAlignment="1">
      <alignment horizontal="justify" vertical="center" wrapText="1"/>
    </xf>
    <xf numFmtId="0" fontId="7" fillId="11" borderId="4" xfId="0" applyFont="1" applyFill="1" applyBorder="1" applyAlignment="1">
      <alignment horizontal="justify" vertical="center" wrapText="1"/>
    </xf>
    <xf numFmtId="0" fontId="4" fillId="11" borderId="4" xfId="0" applyFont="1" applyFill="1" applyBorder="1" applyAlignment="1">
      <alignment vertical="center"/>
    </xf>
    <xf numFmtId="0" fontId="4" fillId="12" borderId="4" xfId="0" applyFont="1" applyFill="1" applyBorder="1" applyAlignment="1">
      <alignment vertical="center"/>
    </xf>
    <xf numFmtId="0" fontId="4" fillId="10" borderId="0" xfId="0" applyFont="1" applyFill="1" applyBorder="1" applyAlignment="1">
      <alignment vertical="center"/>
    </xf>
    <xf numFmtId="0" fontId="4" fillId="9" borderId="4" xfId="0" applyFont="1" applyFill="1" applyBorder="1" applyAlignment="1">
      <alignment vertical="center"/>
    </xf>
    <xf numFmtId="0" fontId="4" fillId="10" borderId="4" xfId="0" applyFont="1" applyFill="1" applyBorder="1" applyAlignment="1">
      <alignment horizontal="justify" vertical="center" wrapText="1"/>
    </xf>
    <xf numFmtId="0" fontId="7" fillId="10" borderId="4" xfId="0" applyFont="1" applyFill="1" applyBorder="1" applyAlignment="1">
      <alignment horizontal="justify" vertical="center" wrapText="1"/>
    </xf>
    <xf numFmtId="0" fontId="4" fillId="0" borderId="4" xfId="0" applyFont="1" applyFill="1" applyBorder="1" applyAlignment="1">
      <alignment vertical="center"/>
    </xf>
    <xf numFmtId="0" fontId="4" fillId="2" borderId="0" xfId="0" applyFont="1" applyFill="1" applyBorder="1" applyAlignment="1"/>
    <xf numFmtId="49" fontId="5" fillId="2" borderId="0" xfId="0" applyNumberFormat="1" applyFont="1" applyFill="1" applyBorder="1" applyAlignment="1"/>
    <xf numFmtId="0" fontId="0" fillId="2" borderId="0" xfId="0" applyFill="1" applyAlignment="1"/>
    <xf numFmtId="0" fontId="4" fillId="2" borderId="0" xfId="0" applyFont="1" applyFill="1" applyBorder="1" applyAlignment="1">
      <alignment horizontal="left" vertical="top" wrapText="1"/>
    </xf>
    <xf numFmtId="0" fontId="4" fillId="3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12" borderId="4" xfId="0" applyNumberFormat="1" applyFont="1" applyFill="1" applyBorder="1" applyAlignment="1">
      <alignment horizontal="justify" vertical="center" wrapText="1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5" fillId="8" borderId="4" xfId="0" applyFont="1" applyFill="1" applyBorder="1" applyAlignment="1">
      <alignment vertical="center" wrapText="1"/>
    </xf>
    <xf numFmtId="0" fontId="7" fillId="12" borderId="4" xfId="0" applyFont="1" applyFill="1" applyBorder="1" applyAlignment="1">
      <alignment horizontal="justify" vertical="center" wrapText="1"/>
    </xf>
    <xf numFmtId="0" fontId="7" fillId="10" borderId="4" xfId="0" quotePrefix="1" applyNumberFormat="1" applyFont="1" applyFill="1" applyBorder="1" applyAlignment="1">
      <alignment horizontal="justify" vertical="center" wrapText="1"/>
    </xf>
    <xf numFmtId="0" fontId="4" fillId="0" borderId="4" xfId="0" applyFont="1" applyFill="1" applyBorder="1" applyAlignment="1">
      <alignment horizontal="justify" vertical="center" wrapText="1"/>
    </xf>
    <xf numFmtId="0" fontId="7" fillId="10" borderId="4" xfId="0" applyNumberFormat="1" applyFont="1" applyFill="1" applyBorder="1" applyAlignment="1">
      <alignment horizontal="justify" vertical="center" wrapText="1"/>
    </xf>
    <xf numFmtId="0" fontId="4" fillId="10" borderId="4" xfId="0" applyNumberFormat="1" applyFont="1" applyFill="1" applyBorder="1" applyAlignment="1">
      <alignment horizontal="justify" vertical="center" wrapText="1"/>
    </xf>
    <xf numFmtId="0" fontId="4" fillId="8" borderId="4" xfId="0" applyFont="1" applyFill="1" applyBorder="1" applyAlignment="1">
      <alignment vertical="center" wrapText="1"/>
    </xf>
    <xf numFmtId="0" fontId="4" fillId="10" borderId="0" xfId="0" applyFont="1" applyFill="1" applyBorder="1" applyAlignment="1">
      <alignment horizontal="justify" vertical="center" wrapText="1"/>
    </xf>
    <xf numFmtId="0" fontId="4" fillId="0" borderId="0" xfId="0" applyFont="1" applyBorder="1" applyAlignment="1">
      <alignment vertical="center"/>
    </xf>
    <xf numFmtId="0" fontId="24" fillId="0" borderId="4" xfId="6" applyFont="1" applyBorder="1" applyAlignment="1">
      <alignment vertical="top" wrapText="1"/>
    </xf>
    <xf numFmtId="0" fontId="1" fillId="0" borderId="0" xfId="6" applyBorder="1"/>
    <xf numFmtId="0" fontId="1" fillId="0" borderId="0" xfId="6"/>
    <xf numFmtId="0" fontId="25" fillId="0" borderId="4" xfId="6" applyFont="1" applyBorder="1" applyAlignment="1">
      <alignment vertical="top" wrapText="1"/>
    </xf>
    <xf numFmtId="0" fontId="29" fillId="0" borderId="4" xfId="6" applyFont="1" applyBorder="1" applyAlignment="1">
      <alignment horizontal="left" vertical="center" wrapText="1" readingOrder="1"/>
    </xf>
    <xf numFmtId="0" fontId="23" fillId="14" borderId="4" xfId="6" applyFont="1" applyFill="1" applyBorder="1" applyAlignment="1">
      <alignment wrapText="1"/>
    </xf>
    <xf numFmtId="0" fontId="23" fillId="14" borderId="4" xfId="6" applyFont="1" applyFill="1" applyBorder="1"/>
    <xf numFmtId="49" fontId="25" fillId="0" borderId="4" xfId="6" applyNumberFormat="1" applyFont="1" applyBorder="1" applyAlignment="1">
      <alignment vertical="top"/>
    </xf>
    <xf numFmtId="14" fontId="30" fillId="0" borderId="4" xfId="6" applyNumberFormat="1" applyFont="1" applyBorder="1" applyAlignment="1">
      <alignment vertical="top" wrapText="1"/>
    </xf>
    <xf numFmtId="0" fontId="23" fillId="0" borderId="4" xfId="6" applyFont="1" applyFill="1" applyBorder="1" applyAlignment="1">
      <alignment wrapText="1"/>
    </xf>
    <xf numFmtId="0" fontId="1" fillId="0" borderId="0" xfId="6" applyFill="1" applyBorder="1"/>
    <xf numFmtId="0" fontId="1" fillId="0" borderId="0" xfId="6" applyFill="1"/>
    <xf numFmtId="49" fontId="24" fillId="0" borderId="4" xfId="6" applyNumberFormat="1" applyFont="1" applyBorder="1" applyAlignment="1">
      <alignment vertical="top"/>
    </xf>
    <xf numFmtId="0" fontId="31" fillId="0" borderId="4" xfId="6" applyFont="1" applyBorder="1" applyAlignment="1">
      <alignment vertical="top" wrapText="1"/>
    </xf>
    <xf numFmtId="0" fontId="30" fillId="0" borderId="4" xfId="6" applyFont="1" applyBorder="1" applyAlignment="1">
      <alignment vertical="top" wrapText="1"/>
    </xf>
    <xf numFmtId="0" fontId="22" fillId="0" borderId="0" xfId="6" applyFont="1" applyBorder="1"/>
    <xf numFmtId="0" fontId="22" fillId="0" borderId="0" xfId="6" applyFont="1"/>
    <xf numFmtId="14" fontId="31" fillId="0" borderId="4" xfId="6" applyNumberFormat="1" applyFont="1" applyBorder="1" applyAlignment="1">
      <alignment vertical="top" wrapText="1"/>
    </xf>
    <xf numFmtId="49" fontId="24" fillId="0" borderId="4" xfId="6" applyNumberFormat="1" applyFont="1" applyBorder="1"/>
    <xf numFmtId="0" fontId="24" fillId="0" borderId="4" xfId="6" applyFont="1" applyBorder="1" applyAlignment="1">
      <alignment wrapText="1"/>
    </xf>
    <xf numFmtId="0" fontId="31" fillId="0" borderId="4" xfId="6" applyFont="1" applyBorder="1" applyAlignment="1">
      <alignment wrapText="1"/>
    </xf>
    <xf numFmtId="0" fontId="1" fillId="0" borderId="0" xfId="6" applyAlignment="1">
      <alignment wrapText="1"/>
    </xf>
    <xf numFmtId="0" fontId="10" fillId="10" borderId="4" xfId="0" applyFont="1" applyFill="1" applyBorder="1" applyAlignment="1">
      <alignment horizontal="justify" vertical="center" wrapText="1"/>
    </xf>
    <xf numFmtId="0" fontId="18" fillId="10" borderId="4" xfId="0" applyNumberFormat="1" applyFont="1" applyFill="1" applyBorder="1" applyAlignment="1">
      <alignment horizontal="justify" vertical="center" wrapText="1"/>
    </xf>
    <xf numFmtId="0" fontId="10" fillId="0" borderId="4" xfId="0" applyFont="1" applyFill="1" applyBorder="1" applyAlignment="1">
      <alignment horizontal="justify" vertical="center" wrapText="1"/>
    </xf>
    <xf numFmtId="0" fontId="10" fillId="0" borderId="0" xfId="0" applyFont="1" applyAlignment="1">
      <alignment vertical="center"/>
    </xf>
    <xf numFmtId="0" fontId="20" fillId="8" borderId="4" xfId="0" applyFont="1" applyFill="1" applyBorder="1" applyAlignment="1">
      <alignment vertical="center" wrapText="1"/>
    </xf>
    <xf numFmtId="0" fontId="25" fillId="0" borderId="4" xfId="6" applyFont="1" applyFill="1" applyBorder="1" applyAlignment="1">
      <alignment wrapText="1"/>
    </xf>
    <xf numFmtId="0" fontId="17" fillId="0" borderId="0" xfId="0" applyFont="1" applyAlignment="1">
      <alignment horizontal="left" vertical="center" wrapText="1"/>
    </xf>
    <xf numFmtId="0" fontId="4" fillId="3" borderId="4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/>
    </xf>
    <xf numFmtId="14" fontId="0" fillId="3" borderId="4" xfId="0" applyNumberFormat="1" applyFill="1" applyBorder="1" applyAlignment="1">
      <alignment horizontal="left"/>
    </xf>
    <xf numFmtId="0" fontId="5" fillId="3" borderId="4" xfId="0" applyFont="1" applyFill="1" applyBorder="1" applyAlignment="1">
      <alignment horizontal="left"/>
    </xf>
    <xf numFmtId="0" fontId="4" fillId="3" borderId="4" xfId="0" applyFont="1" applyFill="1" applyBorder="1" applyAlignment="1">
      <alignment horizontal="left"/>
    </xf>
    <xf numFmtId="0" fontId="8" fillId="3" borderId="1" xfId="0" applyFont="1" applyFill="1" applyBorder="1" applyAlignment="1">
      <alignment horizontal="center" wrapText="1"/>
    </xf>
    <xf numFmtId="0" fontId="8" fillId="3" borderId="3" xfId="0" applyFont="1" applyFill="1" applyBorder="1" applyAlignment="1">
      <alignment horizontal="center" wrapText="1"/>
    </xf>
    <xf numFmtId="14" fontId="8" fillId="0" borderId="13" xfId="0" applyNumberFormat="1" applyFont="1" applyFill="1" applyBorder="1" applyAlignment="1">
      <alignment horizontal="center"/>
    </xf>
    <xf numFmtId="14" fontId="8" fillId="0" borderId="15" xfId="0" applyNumberFormat="1" applyFont="1" applyFill="1" applyBorder="1" applyAlignment="1">
      <alignment horizontal="center"/>
    </xf>
    <xf numFmtId="14" fontId="8" fillId="0" borderId="14" xfId="0" applyNumberFormat="1" applyFont="1" applyFill="1" applyBorder="1" applyAlignment="1">
      <alignment horizontal="center"/>
    </xf>
    <xf numFmtId="0" fontId="4" fillId="2" borderId="0" xfId="0" applyFont="1" applyFill="1" applyBorder="1" applyAlignment="1">
      <alignment horizontal="left" vertical="center" wrapText="1"/>
    </xf>
    <xf numFmtId="0" fontId="4" fillId="2" borderId="0" xfId="0" applyFont="1" applyFill="1" applyBorder="1" applyAlignment="1">
      <alignment horizontal="left" vertical="top" wrapText="1"/>
    </xf>
    <xf numFmtId="14" fontId="0" fillId="3" borderId="1" xfId="0" applyNumberFormat="1" applyFill="1" applyBorder="1" applyAlignment="1">
      <alignment horizontal="left"/>
    </xf>
    <xf numFmtId="14" fontId="0" fillId="3" borderId="3" xfId="0" applyNumberFormat="1" applyFill="1" applyBorder="1" applyAlignment="1">
      <alignment horizontal="left"/>
    </xf>
    <xf numFmtId="0" fontId="4" fillId="3" borderId="1" xfId="0" applyFont="1" applyFill="1" applyBorder="1" applyAlignment="1">
      <alignment vertical="center" wrapText="1"/>
    </xf>
    <xf numFmtId="0" fontId="0" fillId="3" borderId="2" xfId="0" applyFill="1" applyBorder="1" applyAlignment="1">
      <alignment vertical="center" wrapText="1"/>
    </xf>
    <xf numFmtId="0" fontId="0" fillId="3" borderId="3" xfId="0" applyFill="1" applyBorder="1" applyAlignment="1">
      <alignment vertical="center" wrapText="1"/>
    </xf>
    <xf numFmtId="0" fontId="4" fillId="3" borderId="1" xfId="0" applyFont="1" applyFill="1" applyBorder="1" applyAlignment="1">
      <alignment wrapText="1"/>
    </xf>
    <xf numFmtId="0" fontId="0" fillId="3" borderId="2" xfId="0" applyFill="1" applyBorder="1" applyAlignment="1"/>
    <xf numFmtId="0" fontId="0" fillId="3" borderId="3" xfId="0" applyFill="1" applyBorder="1" applyAlignment="1"/>
    <xf numFmtId="0" fontId="12" fillId="6" borderId="19" xfId="0" applyFont="1" applyFill="1" applyBorder="1" applyAlignment="1">
      <alignment horizontal="center" vertical="center"/>
    </xf>
    <xf numFmtId="0" fontId="12" fillId="6" borderId="2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left" vertical="center" wrapText="1"/>
    </xf>
    <xf numFmtId="0" fontId="6" fillId="4" borderId="8" xfId="0" applyFont="1" applyFill="1" applyBorder="1" applyAlignment="1">
      <alignment horizontal="left" vertical="center"/>
    </xf>
    <xf numFmtId="0" fontId="4" fillId="3" borderId="1" xfId="0" applyFont="1" applyFill="1" applyBorder="1" applyAlignment="1"/>
    <xf numFmtId="0" fontId="4" fillId="3" borderId="1" xfId="0" applyFont="1" applyFill="1" applyBorder="1" applyAlignment="1">
      <alignment horizontal="left" wrapText="1"/>
    </xf>
    <xf numFmtId="0" fontId="0" fillId="3" borderId="2" xfId="0" applyFill="1" applyBorder="1" applyAlignment="1">
      <alignment horizontal="left" wrapText="1"/>
    </xf>
    <xf numFmtId="0" fontId="0" fillId="3" borderId="3" xfId="0" applyFill="1" applyBorder="1" applyAlignment="1">
      <alignment horizontal="left" wrapText="1"/>
    </xf>
    <xf numFmtId="0" fontId="4" fillId="2" borderId="0" xfId="0" applyFont="1" applyFill="1" applyBorder="1" applyAlignment="1">
      <alignment horizontal="left" wrapText="1"/>
    </xf>
    <xf numFmtId="0" fontId="4" fillId="3" borderId="4" xfId="0" applyFont="1" applyFill="1" applyBorder="1" applyAlignment="1">
      <alignment horizontal="center" vertical="top" wrapText="1"/>
    </xf>
    <xf numFmtId="0" fontId="4" fillId="4" borderId="6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 vertical="top" wrapText="1"/>
    </xf>
    <xf numFmtId="0" fontId="4" fillId="3" borderId="2" xfId="0" applyFont="1" applyFill="1" applyBorder="1" applyAlignment="1">
      <alignment horizontal="left" vertical="top"/>
    </xf>
    <xf numFmtId="0" fontId="4" fillId="3" borderId="3" xfId="0" applyFont="1" applyFill="1" applyBorder="1" applyAlignment="1">
      <alignment horizontal="left" vertical="top"/>
    </xf>
    <xf numFmtId="0" fontId="0" fillId="3" borderId="1" xfId="0" applyFill="1" applyBorder="1" applyAlignment="1">
      <alignment horizontal="left"/>
    </xf>
    <xf numFmtId="0" fontId="0" fillId="3" borderId="2" xfId="0" applyFill="1" applyBorder="1" applyAlignment="1">
      <alignment horizontal="left"/>
    </xf>
    <xf numFmtId="0" fontId="0" fillId="3" borderId="3" xfId="0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3" borderId="3" xfId="0" applyFont="1" applyFill="1" applyBorder="1" applyAlignment="1">
      <alignment horizontal="left"/>
    </xf>
    <xf numFmtId="0" fontId="0" fillId="3" borderId="1" xfId="0" applyFill="1" applyBorder="1" applyAlignment="1">
      <alignment horizontal="left" wrapText="1"/>
    </xf>
    <xf numFmtId="0" fontId="23" fillId="0" borderId="4" xfId="6" applyFont="1" applyFill="1" applyBorder="1" applyAlignment="1">
      <alignment horizontal="center" vertical="center" wrapText="1"/>
    </xf>
    <xf numFmtId="0" fontId="24" fillId="0" borderId="4" xfId="6" applyFont="1" applyBorder="1" applyAlignment="1">
      <alignment horizontal="center"/>
    </xf>
    <xf numFmtId="0" fontId="23" fillId="14" borderId="4" xfId="6" applyFont="1" applyFill="1" applyBorder="1" applyAlignment="1">
      <alignment horizontal="left"/>
    </xf>
    <xf numFmtId="0" fontId="23" fillId="14" borderId="4" xfId="6" applyFont="1" applyFill="1" applyBorder="1" applyAlignment="1">
      <alignment horizontal="center" vertical="center" wrapText="1"/>
    </xf>
    <xf numFmtId="0" fontId="24" fillId="0" borderId="4" xfId="6" applyFont="1" applyBorder="1" applyAlignment="1">
      <alignment horizontal="left" vertical="top" wrapText="1"/>
    </xf>
    <xf numFmtId="0" fontId="27" fillId="0" borderId="4" xfId="6" applyFont="1" applyBorder="1" applyAlignment="1">
      <alignment horizontal="left" vertical="top" wrapText="1"/>
    </xf>
    <xf numFmtId="0" fontId="28" fillId="0" borderId="4" xfId="6" applyFont="1" applyBorder="1" applyAlignment="1">
      <alignment horizontal="right" vertical="center" wrapText="1" readingOrder="1"/>
    </xf>
    <xf numFmtId="0" fontId="18" fillId="10" borderId="4" xfId="0" applyNumberFormat="1" applyFont="1" applyFill="1" applyBorder="1" applyAlignment="1">
      <alignment horizontal="left" vertical="center" wrapText="1"/>
    </xf>
  </cellXfs>
  <cellStyles count="7">
    <cellStyle name="Normal 2" xfId="4"/>
    <cellStyle name="Standard" xfId="0" builtinId="0"/>
    <cellStyle name="Standard 2" xfId="1"/>
    <cellStyle name="Standard 2 2" xfId="3"/>
    <cellStyle name="Standard 2 2 2" xfId="6"/>
    <cellStyle name="Standard 3" xfId="2"/>
    <cellStyle name="Standard 4" xfId="5"/>
  </cellStyles>
  <dxfs count="0"/>
  <tableStyles count="0" defaultTableStyle="TableStyleMedium9" defaultPivotStyle="PivotStyleLight16"/>
  <colors>
    <mruColors>
      <color rgb="FFFFFF99"/>
      <color rgb="FFC4DCF8"/>
      <color rgb="FFFFCCCC"/>
      <color rgb="FFA8CAF4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2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55</xdr:row>
      <xdr:rowOff>48184</xdr:rowOff>
    </xdr:from>
    <xdr:to>
      <xdr:col>2</xdr:col>
      <xdr:colOff>97650</xdr:colOff>
      <xdr:row>56</xdr:row>
      <xdr:rowOff>42449</xdr:rowOff>
    </xdr:to>
    <xdr:sp macro="" textlink="">
      <xdr:nvSpPr>
        <xdr:cNvPr id="90" name="Rechteck 89"/>
        <xdr:cNvSpPr/>
      </xdr:nvSpPr>
      <xdr:spPr>
        <a:xfrm>
          <a:off x="516591" y="12632390"/>
          <a:ext cx="612000" cy="252000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1100"/>
            <a:t>Facility</a:t>
          </a:r>
        </a:p>
      </xdr:txBody>
    </xdr:sp>
    <xdr:clientData/>
  </xdr:twoCellAnchor>
  <xdr:twoCellAnchor>
    <xdr:from>
      <xdr:col>3</xdr:col>
      <xdr:colOff>478631</xdr:colOff>
      <xdr:row>55</xdr:row>
      <xdr:rowOff>38659</xdr:rowOff>
    </xdr:from>
    <xdr:to>
      <xdr:col>5</xdr:col>
      <xdr:colOff>339837</xdr:colOff>
      <xdr:row>56</xdr:row>
      <xdr:rowOff>32924</xdr:rowOff>
    </xdr:to>
    <xdr:sp macro="" textlink="">
      <xdr:nvSpPr>
        <xdr:cNvPr id="91" name="Rechteck 90"/>
        <xdr:cNvSpPr/>
      </xdr:nvSpPr>
      <xdr:spPr>
        <a:xfrm>
          <a:off x="2312194" y="13921347"/>
          <a:ext cx="611299" cy="256202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1100"/>
            <a:t>IPS-Q</a:t>
          </a:r>
        </a:p>
      </xdr:txBody>
    </xdr:sp>
    <xdr:clientData/>
  </xdr:twoCellAnchor>
  <xdr:twoCellAnchor>
    <xdr:from>
      <xdr:col>2</xdr:col>
      <xdr:colOff>272482</xdr:colOff>
      <xdr:row>54</xdr:row>
      <xdr:rowOff>110777</xdr:rowOff>
    </xdr:from>
    <xdr:to>
      <xdr:col>3</xdr:col>
      <xdr:colOff>301057</xdr:colOff>
      <xdr:row>55</xdr:row>
      <xdr:rowOff>71424</xdr:rowOff>
    </xdr:to>
    <xdr:sp macro="" textlink="">
      <xdr:nvSpPr>
        <xdr:cNvPr id="92" name="Rechteck 91"/>
        <xdr:cNvSpPr/>
      </xdr:nvSpPr>
      <xdr:spPr>
        <a:xfrm>
          <a:off x="1296420" y="13660090"/>
          <a:ext cx="838200" cy="294022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1000">
              <a:solidFill>
                <a:schemeClr val="tx1"/>
              </a:solidFill>
            </a:rPr>
            <a:t>_ATTVAR_</a:t>
          </a:r>
        </a:p>
      </xdr:txBody>
    </xdr:sp>
    <xdr:clientData/>
  </xdr:twoCellAnchor>
  <xdr:twoCellAnchor>
    <xdr:from>
      <xdr:col>2</xdr:col>
      <xdr:colOff>104775</xdr:colOff>
      <xdr:row>55</xdr:row>
      <xdr:rowOff>144496</xdr:rowOff>
    </xdr:from>
    <xdr:to>
      <xdr:col>3</xdr:col>
      <xdr:colOff>428625</xdr:colOff>
      <xdr:row>55</xdr:row>
      <xdr:rowOff>144496</xdr:rowOff>
    </xdr:to>
    <xdr:cxnSp macro="">
      <xdr:nvCxnSpPr>
        <xdr:cNvPr id="96" name="Gerade Verbindung mit Pfeil 95"/>
        <xdr:cNvCxnSpPr/>
      </xdr:nvCxnSpPr>
      <xdr:spPr>
        <a:xfrm flipH="1">
          <a:off x="1135716" y="12695084"/>
          <a:ext cx="1130674" cy="0"/>
        </a:xfrm>
        <a:prstGeom prst="straightConnector1">
          <a:avLst/>
        </a:prstGeom>
        <a:ln>
          <a:solidFill>
            <a:schemeClr val="bg1">
              <a:lumMod val="50000"/>
            </a:schemeClr>
          </a:solidFill>
          <a:headEnd type="triangl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522954</xdr:colOff>
      <xdr:row>55</xdr:row>
      <xdr:rowOff>47602</xdr:rowOff>
    </xdr:from>
    <xdr:to>
      <xdr:col>7</xdr:col>
      <xdr:colOff>372954</xdr:colOff>
      <xdr:row>56</xdr:row>
      <xdr:rowOff>41867</xdr:rowOff>
    </xdr:to>
    <xdr:sp macro="" textlink="">
      <xdr:nvSpPr>
        <xdr:cNvPr id="103" name="Rechteck 102"/>
        <xdr:cNvSpPr/>
      </xdr:nvSpPr>
      <xdr:spPr>
        <a:xfrm>
          <a:off x="3868610" y="13930290"/>
          <a:ext cx="612000" cy="256202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1100"/>
            <a:t>Facility</a:t>
          </a:r>
        </a:p>
      </xdr:txBody>
    </xdr:sp>
    <xdr:clientData/>
  </xdr:twoCellAnchor>
  <xdr:twoCellAnchor>
    <xdr:from>
      <xdr:col>8</xdr:col>
      <xdr:colOff>671505</xdr:colOff>
      <xdr:row>55</xdr:row>
      <xdr:rowOff>38077</xdr:rowOff>
    </xdr:from>
    <xdr:to>
      <xdr:col>9</xdr:col>
      <xdr:colOff>521505</xdr:colOff>
      <xdr:row>56</xdr:row>
      <xdr:rowOff>32342</xdr:rowOff>
    </xdr:to>
    <xdr:sp macro="" textlink="">
      <xdr:nvSpPr>
        <xdr:cNvPr id="104" name="Rechteck 103"/>
        <xdr:cNvSpPr/>
      </xdr:nvSpPr>
      <xdr:spPr>
        <a:xfrm>
          <a:off x="5695943" y="13920765"/>
          <a:ext cx="612000" cy="256202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1100"/>
            <a:t>IPS-Q</a:t>
          </a:r>
        </a:p>
      </xdr:txBody>
    </xdr:sp>
    <xdr:clientData/>
  </xdr:twoCellAnchor>
  <xdr:twoCellAnchor>
    <xdr:from>
      <xdr:col>7</xdr:col>
      <xdr:colOff>535880</xdr:colOff>
      <xdr:row>54</xdr:row>
      <xdr:rowOff>100669</xdr:rowOff>
    </xdr:from>
    <xdr:to>
      <xdr:col>8</xdr:col>
      <xdr:colOff>414061</xdr:colOff>
      <xdr:row>55</xdr:row>
      <xdr:rowOff>61316</xdr:rowOff>
    </xdr:to>
    <xdr:sp macro="" textlink="">
      <xdr:nvSpPr>
        <xdr:cNvPr id="105" name="Rechteck 104"/>
        <xdr:cNvSpPr/>
      </xdr:nvSpPr>
      <xdr:spPr>
        <a:xfrm>
          <a:off x="4648439" y="12393522"/>
          <a:ext cx="797063" cy="252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de-DE" sz="1000">
              <a:solidFill>
                <a:schemeClr val="tx1"/>
              </a:solidFill>
              <a:latin typeface="+mn-lt"/>
              <a:ea typeface="+mn-ea"/>
              <a:cs typeface="+mn-cs"/>
            </a:rPr>
            <a:t>TEILCODE</a:t>
          </a:r>
        </a:p>
      </xdr:txBody>
    </xdr:sp>
    <xdr:clientData/>
  </xdr:twoCellAnchor>
  <xdr:twoCellAnchor>
    <xdr:from>
      <xdr:col>7</xdr:col>
      <xdr:colOff>524315</xdr:colOff>
      <xdr:row>56</xdr:row>
      <xdr:rowOff>16301</xdr:rowOff>
    </xdr:from>
    <xdr:to>
      <xdr:col>8</xdr:col>
      <xdr:colOff>402496</xdr:colOff>
      <xdr:row>57</xdr:row>
      <xdr:rowOff>179294</xdr:rowOff>
    </xdr:to>
    <xdr:sp macro="" textlink="">
      <xdr:nvSpPr>
        <xdr:cNvPr id="106" name="Rechteck 105"/>
        <xdr:cNvSpPr/>
      </xdr:nvSpPr>
      <xdr:spPr>
        <a:xfrm>
          <a:off x="4636874" y="13934007"/>
          <a:ext cx="797063" cy="409522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rtlCol="0" anchor="t"/>
        <a:lstStyle/>
        <a:p>
          <a:pPr marL="0" indent="0" algn="ctr"/>
          <a:r>
            <a:rPr lang="de-DE" sz="1000">
              <a:solidFill>
                <a:schemeClr val="tx1"/>
              </a:solidFill>
              <a:latin typeface="+mn-lt"/>
              <a:ea typeface="+mn-ea"/>
              <a:cs typeface="+mn-cs"/>
            </a:rPr>
            <a:t>TEILCODE</a:t>
          </a:r>
          <a:r>
            <a:rPr lang="de-DE" sz="1000" baseline="0">
              <a:solidFill>
                <a:schemeClr val="tx1"/>
              </a:solidFill>
              <a:latin typeface="+mn-lt"/>
              <a:ea typeface="+mn-ea"/>
              <a:cs typeface="+mn-cs"/>
            </a:rPr>
            <a:t> (Status)</a:t>
          </a:r>
          <a:endParaRPr lang="de-DE" sz="10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409334</xdr:colOff>
      <xdr:row>55</xdr:row>
      <xdr:rowOff>232719</xdr:rowOff>
    </xdr:from>
    <xdr:to>
      <xdr:col>8</xdr:col>
      <xdr:colOff>579318</xdr:colOff>
      <xdr:row>55</xdr:row>
      <xdr:rowOff>232719</xdr:rowOff>
    </xdr:to>
    <xdr:cxnSp macro="">
      <xdr:nvCxnSpPr>
        <xdr:cNvPr id="107" name="Gerade Verbindung mit Pfeil 106"/>
        <xdr:cNvCxnSpPr/>
      </xdr:nvCxnSpPr>
      <xdr:spPr>
        <a:xfrm flipH="1">
          <a:off x="4521893" y="12816925"/>
          <a:ext cx="1088866" cy="0"/>
        </a:xfrm>
        <a:prstGeom prst="straightConnector1">
          <a:avLst/>
        </a:prstGeom>
        <a:ln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403891</xdr:colOff>
      <xdr:row>55</xdr:row>
      <xdr:rowOff>143913</xdr:rowOff>
    </xdr:from>
    <xdr:to>
      <xdr:col>8</xdr:col>
      <xdr:colOff>573875</xdr:colOff>
      <xdr:row>55</xdr:row>
      <xdr:rowOff>143913</xdr:rowOff>
    </xdr:to>
    <xdr:cxnSp macro="">
      <xdr:nvCxnSpPr>
        <xdr:cNvPr id="108" name="Gerade Verbindung mit Pfeil 107"/>
        <xdr:cNvCxnSpPr/>
      </xdr:nvCxnSpPr>
      <xdr:spPr>
        <a:xfrm flipH="1">
          <a:off x="4516450" y="12728119"/>
          <a:ext cx="1088866" cy="0"/>
        </a:xfrm>
        <a:prstGeom prst="straightConnector1">
          <a:avLst/>
        </a:prstGeom>
        <a:ln>
          <a:solidFill>
            <a:schemeClr val="bg1">
              <a:lumMod val="50000"/>
            </a:schemeClr>
          </a:solidFill>
          <a:headEnd type="triangl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35486</xdr:colOff>
      <xdr:row>1</xdr:row>
      <xdr:rowOff>34862</xdr:rowOff>
    </xdr:from>
    <xdr:to>
      <xdr:col>1</xdr:col>
      <xdr:colOff>459753</xdr:colOff>
      <xdr:row>1</xdr:row>
      <xdr:rowOff>511837</xdr:rowOff>
    </xdr:to>
    <xdr:pic>
      <xdr:nvPicPr>
        <xdr:cNvPr id="46" name="Picture 1" descr="bmw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00069" y="151279"/>
          <a:ext cx="424267" cy="476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</xdr:col>
      <xdr:colOff>288992</xdr:colOff>
      <xdr:row>56</xdr:row>
      <xdr:rowOff>16303</xdr:rowOff>
    </xdr:from>
    <xdr:to>
      <xdr:col>3</xdr:col>
      <xdr:colOff>279231</xdr:colOff>
      <xdr:row>57</xdr:row>
      <xdr:rowOff>201706</xdr:rowOff>
    </xdr:to>
    <xdr:sp macro="" textlink="">
      <xdr:nvSpPr>
        <xdr:cNvPr id="61" name="Rechteck 60"/>
        <xdr:cNvSpPr/>
      </xdr:nvSpPr>
      <xdr:spPr>
        <a:xfrm>
          <a:off x="1319933" y="13934009"/>
          <a:ext cx="797063" cy="431932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rtlCol="0" anchor="t"/>
        <a:lstStyle/>
        <a:p>
          <a:pPr marL="0" indent="0" algn="ctr"/>
          <a:r>
            <a:rPr lang="de-DE" sz="1000">
              <a:solidFill>
                <a:schemeClr val="tx1"/>
              </a:solidFill>
              <a:latin typeface="+mn-lt"/>
              <a:ea typeface="+mn-ea"/>
              <a:cs typeface="+mn-cs"/>
            </a:rPr>
            <a:t>_ATTVAR_ (Status)</a:t>
          </a:r>
          <a:endParaRPr lang="de-DE" sz="8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174011</xdr:colOff>
      <xdr:row>55</xdr:row>
      <xdr:rowOff>232719</xdr:rowOff>
    </xdr:from>
    <xdr:to>
      <xdr:col>3</xdr:col>
      <xdr:colOff>456053</xdr:colOff>
      <xdr:row>55</xdr:row>
      <xdr:rowOff>232719</xdr:rowOff>
    </xdr:to>
    <xdr:cxnSp macro="">
      <xdr:nvCxnSpPr>
        <xdr:cNvPr id="62" name="Gerade Verbindung mit Pfeil 61"/>
        <xdr:cNvCxnSpPr/>
      </xdr:nvCxnSpPr>
      <xdr:spPr>
        <a:xfrm flipH="1">
          <a:off x="1204952" y="13892690"/>
          <a:ext cx="1088866" cy="0"/>
        </a:xfrm>
        <a:prstGeom prst="straightConnector1">
          <a:avLst/>
        </a:prstGeom>
        <a:ln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270062</xdr:colOff>
      <xdr:row>60</xdr:row>
      <xdr:rowOff>176092</xdr:rowOff>
    </xdr:from>
    <xdr:to>
      <xdr:col>2</xdr:col>
      <xdr:colOff>120062</xdr:colOff>
      <xdr:row>61</xdr:row>
      <xdr:rowOff>181562</xdr:rowOff>
    </xdr:to>
    <xdr:sp macro="" textlink="">
      <xdr:nvSpPr>
        <xdr:cNvPr id="63" name="Rechteck 62"/>
        <xdr:cNvSpPr/>
      </xdr:nvSpPr>
      <xdr:spPr>
        <a:xfrm>
          <a:off x="539003" y="14833386"/>
          <a:ext cx="612000" cy="252000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1100"/>
            <a:t>Facility</a:t>
          </a:r>
        </a:p>
      </xdr:txBody>
    </xdr:sp>
    <xdr:clientData/>
  </xdr:twoCellAnchor>
  <xdr:twoCellAnchor>
    <xdr:from>
      <xdr:col>3</xdr:col>
      <xdr:colOff>501043</xdr:colOff>
      <xdr:row>60</xdr:row>
      <xdr:rowOff>166567</xdr:rowOff>
    </xdr:from>
    <xdr:to>
      <xdr:col>5</xdr:col>
      <xdr:colOff>362249</xdr:colOff>
      <xdr:row>61</xdr:row>
      <xdr:rowOff>172037</xdr:rowOff>
    </xdr:to>
    <xdr:sp macro="" textlink="">
      <xdr:nvSpPr>
        <xdr:cNvPr id="64" name="Rechteck 63"/>
        <xdr:cNvSpPr/>
      </xdr:nvSpPr>
      <xdr:spPr>
        <a:xfrm>
          <a:off x="2338808" y="14823861"/>
          <a:ext cx="612000" cy="252000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1100"/>
            <a:t>IPS-Q</a:t>
          </a:r>
        </a:p>
      </xdr:txBody>
    </xdr:sp>
    <xdr:clientData/>
  </xdr:twoCellAnchor>
  <xdr:twoCellAnchor>
    <xdr:from>
      <xdr:col>2</xdr:col>
      <xdr:colOff>294894</xdr:colOff>
      <xdr:row>59</xdr:row>
      <xdr:rowOff>149037</xdr:rowOff>
    </xdr:from>
    <xdr:to>
      <xdr:col>3</xdr:col>
      <xdr:colOff>323469</xdr:colOff>
      <xdr:row>60</xdr:row>
      <xdr:rowOff>199332</xdr:rowOff>
    </xdr:to>
    <xdr:sp macro="" textlink="">
      <xdr:nvSpPr>
        <xdr:cNvPr id="65" name="Rechteck 64"/>
        <xdr:cNvSpPr/>
      </xdr:nvSpPr>
      <xdr:spPr>
        <a:xfrm>
          <a:off x="1325835" y="14559802"/>
          <a:ext cx="835399" cy="296824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1000">
              <a:solidFill>
                <a:schemeClr val="tx1"/>
              </a:solidFill>
            </a:rPr>
            <a:t>****LIFE</a:t>
          </a:r>
        </a:p>
      </xdr:txBody>
    </xdr:sp>
    <xdr:clientData/>
  </xdr:twoCellAnchor>
  <xdr:twoCellAnchor>
    <xdr:from>
      <xdr:col>2</xdr:col>
      <xdr:colOff>127187</xdr:colOff>
      <xdr:row>61</xdr:row>
      <xdr:rowOff>25874</xdr:rowOff>
    </xdr:from>
    <xdr:to>
      <xdr:col>3</xdr:col>
      <xdr:colOff>451037</xdr:colOff>
      <xdr:row>61</xdr:row>
      <xdr:rowOff>25874</xdr:rowOff>
    </xdr:to>
    <xdr:cxnSp macro="">
      <xdr:nvCxnSpPr>
        <xdr:cNvPr id="66" name="Gerade Verbindung mit Pfeil 65"/>
        <xdr:cNvCxnSpPr/>
      </xdr:nvCxnSpPr>
      <xdr:spPr>
        <a:xfrm flipH="1">
          <a:off x="1158128" y="14929698"/>
          <a:ext cx="1130674" cy="0"/>
        </a:xfrm>
        <a:prstGeom prst="straightConnector1">
          <a:avLst/>
        </a:prstGeom>
        <a:ln>
          <a:solidFill>
            <a:schemeClr val="bg1">
              <a:lumMod val="50000"/>
            </a:schemeClr>
          </a:solidFill>
          <a:headEnd type="triangl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311404</xdr:colOff>
      <xdr:row>61</xdr:row>
      <xdr:rowOff>155416</xdr:rowOff>
    </xdr:from>
    <xdr:to>
      <xdr:col>3</xdr:col>
      <xdr:colOff>301643</xdr:colOff>
      <xdr:row>63</xdr:row>
      <xdr:rowOff>94290</xdr:rowOff>
    </xdr:to>
    <xdr:sp macro="" textlink="">
      <xdr:nvSpPr>
        <xdr:cNvPr id="67" name="Rechteck 66"/>
        <xdr:cNvSpPr/>
      </xdr:nvSpPr>
      <xdr:spPr>
        <a:xfrm>
          <a:off x="1342345" y="15059240"/>
          <a:ext cx="797063" cy="431932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rtlCol="0" anchor="t"/>
        <a:lstStyle/>
        <a:p>
          <a:pPr marL="0" indent="0" algn="ctr"/>
          <a:r>
            <a:rPr lang="de-DE" sz="1000">
              <a:solidFill>
                <a:schemeClr val="tx1"/>
              </a:solidFill>
              <a:latin typeface="+mn-lt"/>
              <a:ea typeface="+mn-ea"/>
              <a:cs typeface="+mn-cs"/>
            </a:rPr>
            <a:t>****LIFE</a:t>
          </a:r>
          <a:r>
            <a:rPr lang="de-DE" sz="1000" baseline="0">
              <a:solidFill>
                <a:schemeClr val="tx1"/>
              </a:solidFill>
              <a:latin typeface="+mn-lt"/>
              <a:ea typeface="+mn-ea"/>
              <a:cs typeface="+mn-cs"/>
            </a:rPr>
            <a:t> (Status)</a:t>
          </a:r>
          <a:endParaRPr lang="de-DE" sz="10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196423</xdr:colOff>
      <xdr:row>61</xdr:row>
      <xdr:rowOff>114097</xdr:rowOff>
    </xdr:from>
    <xdr:to>
      <xdr:col>3</xdr:col>
      <xdr:colOff>478465</xdr:colOff>
      <xdr:row>61</xdr:row>
      <xdr:rowOff>114097</xdr:rowOff>
    </xdr:to>
    <xdr:cxnSp macro="">
      <xdr:nvCxnSpPr>
        <xdr:cNvPr id="68" name="Gerade Verbindung mit Pfeil 67"/>
        <xdr:cNvCxnSpPr/>
      </xdr:nvCxnSpPr>
      <xdr:spPr>
        <a:xfrm flipH="1">
          <a:off x="1227364" y="15017921"/>
          <a:ext cx="1088866" cy="0"/>
        </a:xfrm>
        <a:prstGeom prst="straightConnector1">
          <a:avLst/>
        </a:prstGeom>
        <a:ln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640080</xdr:colOff>
          <xdr:row>53</xdr:row>
          <xdr:rowOff>60960</xdr:rowOff>
        </xdr:from>
        <xdr:to>
          <xdr:col>5</xdr:col>
          <xdr:colOff>129540</xdr:colOff>
          <xdr:row>54</xdr:row>
          <xdr:rowOff>76200</xdr:rowOff>
        </xdr:to>
        <xdr:sp macro="" textlink="">
          <xdr:nvSpPr>
            <xdr:cNvPr id="11273" name="ATTVAR" hidden="1">
              <a:extLst>
                <a:ext uri="{63B3BB69-23CF-44E3-9099-C40C66FF867C}">
                  <a14:compatExt spid="_x0000_s11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220980</xdr:colOff>
          <xdr:row>53</xdr:row>
          <xdr:rowOff>76200</xdr:rowOff>
        </xdr:from>
        <xdr:to>
          <xdr:col>10</xdr:col>
          <xdr:colOff>457200</xdr:colOff>
          <xdr:row>54</xdr:row>
          <xdr:rowOff>76200</xdr:rowOff>
        </xdr:to>
        <xdr:sp macro="" textlink="">
          <xdr:nvSpPr>
            <xdr:cNvPr id="11274" name="TEILCODE" hidden="1">
              <a:extLst>
                <a:ext uri="{63B3BB69-23CF-44E3-9099-C40C66FF867C}">
                  <a14:compatExt spid="_x0000_s11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27</xdr:row>
          <xdr:rowOff>190500</xdr:rowOff>
        </xdr:from>
        <xdr:to>
          <xdr:col>6</xdr:col>
          <xdr:colOff>144780</xdr:colOff>
          <xdr:row>29</xdr:row>
          <xdr:rowOff>53340</xdr:rowOff>
        </xdr:to>
        <xdr:sp macro="" textlink="">
          <xdr:nvSpPr>
            <xdr:cNvPr id="11292" name="CP_Communication" hidden="1">
              <a:extLst>
                <a:ext uri="{63B3BB69-23CF-44E3-9099-C40C66FF867C}">
                  <a14:compatExt spid="_x0000_s11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678180</xdr:colOff>
          <xdr:row>58</xdr:row>
          <xdr:rowOff>114300</xdr:rowOff>
        </xdr:from>
        <xdr:to>
          <xdr:col>5</xdr:col>
          <xdr:colOff>167640</xdr:colOff>
          <xdr:row>59</xdr:row>
          <xdr:rowOff>129540</xdr:rowOff>
        </xdr:to>
        <xdr:sp macro="" textlink="">
          <xdr:nvSpPr>
            <xdr:cNvPr id="11294" name="LIFE" hidden="1">
              <a:extLst>
                <a:ext uri="{63B3BB69-23CF-44E3-9099-C40C66FF867C}">
                  <a14:compatExt spid="_x0000_s11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45720</xdr:colOff>
          <xdr:row>14</xdr:row>
          <xdr:rowOff>0</xdr:rowOff>
        </xdr:from>
        <xdr:to>
          <xdr:col>12</xdr:col>
          <xdr:colOff>624840</xdr:colOff>
          <xdr:row>16</xdr:row>
          <xdr:rowOff>15240</xdr:rowOff>
        </xdr:to>
        <xdr:sp macro="" textlink="">
          <xdr:nvSpPr>
            <xdr:cNvPr id="11296" name="create_ATTVAR_" hidden="1">
              <a:extLst>
                <a:ext uri="{63B3BB69-23CF-44E3-9099-C40C66FF867C}">
                  <a14:compatExt spid="_x0000_s1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45720</xdr:colOff>
          <xdr:row>16</xdr:row>
          <xdr:rowOff>7620</xdr:rowOff>
        </xdr:from>
        <xdr:to>
          <xdr:col>12</xdr:col>
          <xdr:colOff>624840</xdr:colOff>
          <xdr:row>18</xdr:row>
          <xdr:rowOff>15240</xdr:rowOff>
        </xdr:to>
        <xdr:sp macro="" textlink="">
          <xdr:nvSpPr>
            <xdr:cNvPr id="11297" name="create_TEILCODE" hidden="1">
              <a:extLst>
                <a:ext uri="{63B3BB69-23CF-44E3-9099-C40C66FF867C}">
                  <a14:compatExt spid="_x0000_s1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529257</xdr:colOff>
      <xdr:row>60</xdr:row>
      <xdr:rowOff>195332</xdr:rowOff>
    </xdr:from>
    <xdr:to>
      <xdr:col>7</xdr:col>
      <xdr:colOff>379257</xdr:colOff>
      <xdr:row>61</xdr:row>
      <xdr:rowOff>200803</xdr:rowOff>
    </xdr:to>
    <xdr:sp macro="" textlink="">
      <xdr:nvSpPr>
        <xdr:cNvPr id="27" name="Rechteck 26"/>
        <xdr:cNvSpPr/>
      </xdr:nvSpPr>
      <xdr:spPr>
        <a:xfrm>
          <a:off x="4182375" y="15603420"/>
          <a:ext cx="612000" cy="252001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1100"/>
            <a:t>Facility</a:t>
          </a:r>
        </a:p>
      </xdr:txBody>
    </xdr:sp>
    <xdr:clientData/>
  </xdr:twoCellAnchor>
  <xdr:twoCellAnchor>
    <xdr:from>
      <xdr:col>8</xdr:col>
      <xdr:colOff>677808</xdr:colOff>
      <xdr:row>60</xdr:row>
      <xdr:rowOff>185807</xdr:rowOff>
    </xdr:from>
    <xdr:to>
      <xdr:col>9</xdr:col>
      <xdr:colOff>527808</xdr:colOff>
      <xdr:row>61</xdr:row>
      <xdr:rowOff>191278</xdr:rowOff>
    </xdr:to>
    <xdr:sp macro="" textlink="">
      <xdr:nvSpPr>
        <xdr:cNvPr id="28" name="Rechteck 27"/>
        <xdr:cNvSpPr/>
      </xdr:nvSpPr>
      <xdr:spPr>
        <a:xfrm>
          <a:off x="5978190" y="15593895"/>
          <a:ext cx="612000" cy="252001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1100"/>
            <a:t>IPS-Q</a:t>
          </a:r>
        </a:p>
      </xdr:txBody>
    </xdr:sp>
    <xdr:clientData/>
  </xdr:twoCellAnchor>
  <xdr:twoCellAnchor>
    <xdr:from>
      <xdr:col>7</xdr:col>
      <xdr:colOff>542183</xdr:colOff>
      <xdr:row>59</xdr:row>
      <xdr:rowOff>158752</xdr:rowOff>
    </xdr:from>
    <xdr:to>
      <xdr:col>8</xdr:col>
      <xdr:colOff>420364</xdr:colOff>
      <xdr:row>60</xdr:row>
      <xdr:rowOff>209046</xdr:rowOff>
    </xdr:to>
    <xdr:sp macro="" textlink="">
      <xdr:nvSpPr>
        <xdr:cNvPr id="29" name="Rechteck 28"/>
        <xdr:cNvSpPr/>
      </xdr:nvSpPr>
      <xdr:spPr>
        <a:xfrm>
          <a:off x="4957301" y="15320311"/>
          <a:ext cx="763445" cy="296823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de-DE" sz="1000">
              <a:solidFill>
                <a:schemeClr val="tx1"/>
              </a:solidFill>
              <a:latin typeface="+mn-lt"/>
              <a:ea typeface="+mn-ea"/>
              <a:cs typeface="+mn-cs"/>
            </a:rPr>
            <a:t>TEILCO2D</a:t>
          </a:r>
        </a:p>
      </xdr:txBody>
    </xdr:sp>
    <xdr:clientData/>
  </xdr:twoCellAnchor>
  <xdr:twoCellAnchor>
    <xdr:from>
      <xdr:col>7</xdr:col>
      <xdr:colOff>530618</xdr:colOff>
      <xdr:row>61</xdr:row>
      <xdr:rowOff>175237</xdr:rowOff>
    </xdr:from>
    <xdr:to>
      <xdr:col>8</xdr:col>
      <xdr:colOff>408799</xdr:colOff>
      <xdr:row>63</xdr:row>
      <xdr:rowOff>91701</xdr:rowOff>
    </xdr:to>
    <xdr:sp macro="" textlink="">
      <xdr:nvSpPr>
        <xdr:cNvPr id="30" name="Rechteck 29"/>
        <xdr:cNvSpPr/>
      </xdr:nvSpPr>
      <xdr:spPr>
        <a:xfrm>
          <a:off x="4945736" y="15829855"/>
          <a:ext cx="763445" cy="409522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rtlCol="0" anchor="t"/>
        <a:lstStyle/>
        <a:p>
          <a:pPr marL="0" indent="0" algn="ctr"/>
          <a:r>
            <a:rPr lang="de-DE" sz="1000">
              <a:solidFill>
                <a:schemeClr val="tx1"/>
              </a:solidFill>
              <a:latin typeface="+mn-lt"/>
              <a:ea typeface="+mn-ea"/>
              <a:cs typeface="+mn-cs"/>
            </a:rPr>
            <a:t>TEILCO2D</a:t>
          </a:r>
          <a:r>
            <a:rPr lang="de-DE" sz="1000" baseline="0">
              <a:solidFill>
                <a:schemeClr val="tx1"/>
              </a:solidFill>
              <a:latin typeface="+mn-lt"/>
              <a:ea typeface="+mn-ea"/>
              <a:cs typeface="+mn-cs"/>
            </a:rPr>
            <a:t> (Status)</a:t>
          </a:r>
          <a:endParaRPr lang="de-DE" sz="10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415637</xdr:colOff>
      <xdr:row>61</xdr:row>
      <xdr:rowOff>133919</xdr:rowOff>
    </xdr:from>
    <xdr:to>
      <xdr:col>8</xdr:col>
      <xdr:colOff>585621</xdr:colOff>
      <xdr:row>61</xdr:row>
      <xdr:rowOff>133919</xdr:rowOff>
    </xdr:to>
    <xdr:cxnSp macro="">
      <xdr:nvCxnSpPr>
        <xdr:cNvPr id="31" name="Gerade Verbindung mit Pfeil 30"/>
        <xdr:cNvCxnSpPr/>
      </xdr:nvCxnSpPr>
      <xdr:spPr>
        <a:xfrm flipH="1">
          <a:off x="4830755" y="15788537"/>
          <a:ext cx="1055248" cy="0"/>
        </a:xfrm>
        <a:prstGeom prst="straightConnector1">
          <a:avLst/>
        </a:prstGeom>
        <a:ln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410194</xdr:colOff>
      <xdr:row>61</xdr:row>
      <xdr:rowOff>45113</xdr:rowOff>
    </xdr:from>
    <xdr:to>
      <xdr:col>8</xdr:col>
      <xdr:colOff>580178</xdr:colOff>
      <xdr:row>61</xdr:row>
      <xdr:rowOff>45113</xdr:rowOff>
    </xdr:to>
    <xdr:cxnSp macro="">
      <xdr:nvCxnSpPr>
        <xdr:cNvPr id="32" name="Gerade Verbindung mit Pfeil 31"/>
        <xdr:cNvCxnSpPr/>
      </xdr:nvCxnSpPr>
      <xdr:spPr>
        <a:xfrm flipH="1">
          <a:off x="4825312" y="15699731"/>
          <a:ext cx="1055248" cy="0"/>
        </a:xfrm>
        <a:prstGeom prst="straightConnector1">
          <a:avLst/>
        </a:prstGeom>
        <a:ln>
          <a:solidFill>
            <a:schemeClr val="bg1">
              <a:lumMod val="50000"/>
            </a:schemeClr>
          </a:solidFill>
          <a:headEnd type="triangl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58</xdr:row>
          <xdr:rowOff>121920</xdr:rowOff>
        </xdr:from>
        <xdr:to>
          <xdr:col>10</xdr:col>
          <xdr:colOff>464820</xdr:colOff>
          <xdr:row>59</xdr:row>
          <xdr:rowOff>121920</xdr:rowOff>
        </xdr:to>
        <xdr:sp macro="" textlink="">
          <xdr:nvSpPr>
            <xdr:cNvPr id="11298" name="TEILCO2D" hidden="1">
              <a:extLst>
                <a:ext uri="{63B3BB69-23CF-44E3-9099-C40C66FF867C}">
                  <a14:compatExt spid="_x0000_s1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45720</xdr:colOff>
          <xdr:row>18</xdr:row>
          <xdr:rowOff>7620</xdr:rowOff>
        </xdr:from>
        <xdr:to>
          <xdr:col>12</xdr:col>
          <xdr:colOff>624840</xdr:colOff>
          <xdr:row>20</xdr:row>
          <xdr:rowOff>15240</xdr:rowOff>
        </xdr:to>
        <xdr:sp macro="" textlink="">
          <xdr:nvSpPr>
            <xdr:cNvPr id="11300" name="create_TEILCO2D" hidden="1">
              <a:extLst>
                <a:ext uri="{63B3BB69-23CF-44E3-9099-C40C66FF867C}">
                  <a14:compatExt spid="_x0000_s11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21171</xdr:colOff>
      <xdr:row>1</xdr:row>
      <xdr:rowOff>10585</xdr:rowOff>
    </xdr:from>
    <xdr:to>
      <xdr:col>1</xdr:col>
      <xdr:colOff>445438</xdr:colOff>
      <xdr:row>1</xdr:row>
      <xdr:rowOff>487560</xdr:rowOff>
    </xdr:to>
    <xdr:pic>
      <xdr:nvPicPr>
        <xdr:cNvPr id="4" name="Picture 1" descr="bmw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96338" y="127002"/>
          <a:ext cx="424267" cy="476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20_Gremien\11_FG_EL\41_P_AKZ\Standard\Archiv\Users\q006239\AppData\Local\Microsoft\Windows\Temporary%20Internet%20Files\Content.Outlook\OHIIHR4B\OKZ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ktionskürzel"/>
      <sheetName val="Funktionskürzel alternativ"/>
      <sheetName val="Daten"/>
    </sheetNames>
    <sheetDataSet>
      <sheetData sheetId="0" refreshError="1"/>
      <sheetData sheetId="1" refreshError="1"/>
      <sheetData sheetId="2" refreshError="1">
        <row r="1">
          <cell r="A1" t="str">
            <v>DE</v>
          </cell>
        </row>
        <row r="2">
          <cell r="A2" t="str">
            <v>--</v>
          </cell>
        </row>
        <row r="3">
          <cell r="A3" t="str">
            <v>--</v>
          </cell>
        </row>
        <row r="4">
          <cell r="A4" t="str">
            <v>Abluft</v>
          </cell>
        </row>
        <row r="5">
          <cell r="A5" t="str">
            <v>Abzugsantrieb</v>
          </cell>
        </row>
        <row r="6">
          <cell r="A6" t="str">
            <v>Abzugsantrieb</v>
          </cell>
        </row>
        <row r="7">
          <cell r="A7" t="str">
            <v>Andockantrieb</v>
          </cell>
        </row>
        <row r="8">
          <cell r="A8" t="str">
            <v>Andockantrieb</v>
          </cell>
        </row>
        <row r="9">
          <cell r="A9" t="str">
            <v>Anlagen-PC</v>
          </cell>
        </row>
        <row r="10">
          <cell r="A10" t="str">
            <v>Anpass-/Antriebs-Schrank bzw. -Kasten, Leistungschrank Steuerung Steuerungstechnik</v>
          </cell>
        </row>
        <row r="11">
          <cell r="A11" t="str">
            <v>Anzeigen (Tableaus, Einzelanzeigen)</v>
          </cell>
        </row>
        <row r="12">
          <cell r="A12" t="str">
            <v>Arbeitsplatz, Takt,</v>
          </cell>
        </row>
        <row r="13">
          <cell r="A13" t="str">
            <v>Arbeitsraum</v>
          </cell>
        </row>
        <row r="14">
          <cell r="A14" t="str">
            <v>Arretierung</v>
          </cell>
        </row>
        <row r="15">
          <cell r="A15" t="str">
            <v>Aufheizzone</v>
          </cell>
        </row>
        <row r="16">
          <cell r="A16" t="str">
            <v>Auslagerwagen</v>
          </cell>
        </row>
        <row r="17">
          <cell r="A17" t="str">
            <v>Auslauf</v>
          </cell>
        </row>
        <row r="18">
          <cell r="A18" t="str">
            <v>Ausschieber</v>
          </cell>
        </row>
        <row r="19">
          <cell r="A19" t="str">
            <v>Aussenluft</v>
          </cell>
        </row>
        <row r="20">
          <cell r="A20" t="str">
            <v>Bauteileentsorgung</v>
          </cell>
        </row>
        <row r="21">
          <cell r="A21" t="str">
            <v>Bauteilfixierung</v>
          </cell>
        </row>
        <row r="22">
          <cell r="A22" t="str">
            <v>Bauteilversorgung</v>
          </cell>
        </row>
        <row r="23">
          <cell r="A23" t="str">
            <v>Bedientableau</v>
          </cell>
        </row>
        <row r="24">
          <cell r="A24" t="str">
            <v>Behälteraufnahme Behälterturm</v>
          </cell>
        </row>
        <row r="25">
          <cell r="A25" t="str">
            <v>Beladearm</v>
          </cell>
        </row>
        <row r="26">
          <cell r="A26" t="str">
            <v>Beladetüre</v>
          </cell>
        </row>
        <row r="27">
          <cell r="A27" t="str">
            <v>Beleuchtung</v>
          </cell>
        </row>
        <row r="28">
          <cell r="A28" t="str">
            <v>Blindnieten</v>
          </cell>
        </row>
        <row r="29">
          <cell r="A29" t="str">
            <v>Blockstelle</v>
          </cell>
        </row>
        <row r="30">
          <cell r="A30" t="str">
            <v>Bohreinheit</v>
          </cell>
        </row>
        <row r="31">
          <cell r="A31" t="str">
            <v>Bolzenschweissen</v>
          </cell>
        </row>
        <row r="32">
          <cell r="A32" t="str">
            <v>Brandschutztor</v>
          </cell>
        </row>
        <row r="33">
          <cell r="A33" t="str">
            <v>Bremsantrieb</v>
          </cell>
        </row>
        <row r="34">
          <cell r="A34" t="str">
            <v>Brenner</v>
          </cell>
        </row>
        <row r="35">
          <cell r="A35" t="str">
            <v>Buckelschweissen</v>
          </cell>
        </row>
        <row r="36">
          <cell r="A36" t="str">
            <v>BVS-Schrank + integrierte Einspeisung (BVSE-Schrank)</v>
          </cell>
        </row>
        <row r="37">
          <cell r="A37" t="str">
            <v>BVx-Schrank (BVS, BVT, BVO)</v>
          </cell>
        </row>
        <row r="38">
          <cell r="A38" t="str">
            <v>Clinchen</v>
          </cell>
        </row>
        <row r="39">
          <cell r="A39" t="str">
            <v>Diagnosestation</v>
          </cell>
        </row>
        <row r="40">
          <cell r="A40" t="str">
            <v>Distanzkontrolle</v>
          </cell>
        </row>
        <row r="41">
          <cell r="A41" t="str">
            <v>Dosierbehälter</v>
          </cell>
        </row>
        <row r="42">
          <cell r="A42" t="str">
            <v>Drehantrieb</v>
          </cell>
        </row>
        <row r="43">
          <cell r="A43" t="str">
            <v>Drehtisch</v>
          </cell>
        </row>
        <row r="44">
          <cell r="A44" t="str">
            <v>Drehtisch</v>
          </cell>
        </row>
        <row r="45">
          <cell r="A45" t="str">
            <v>Drehtisch</v>
          </cell>
        </row>
        <row r="46">
          <cell r="A46" t="str">
            <v>Drehtrommel</v>
          </cell>
        </row>
        <row r="47">
          <cell r="A47" t="str">
            <v>Drehverteiler</v>
          </cell>
        </row>
        <row r="48">
          <cell r="A48" t="str">
            <v>Druckluft</v>
          </cell>
        </row>
        <row r="49">
          <cell r="A49" t="str">
            <v>Düsenreinigung</v>
          </cell>
        </row>
        <row r="50">
          <cell r="A50" t="str">
            <v>Ein-/Ausschleusstation</v>
          </cell>
        </row>
        <row r="51">
          <cell r="A51" t="str">
            <v>Einlegestation, Einschleusen</v>
          </cell>
        </row>
        <row r="52">
          <cell r="A52" t="str">
            <v>Einrichtmeister</v>
          </cell>
        </row>
        <row r="53">
          <cell r="A53" t="str">
            <v>Einspeiseschrank</v>
          </cell>
        </row>
        <row r="54">
          <cell r="A54" t="str">
            <v>Einspeiseschrank (ohne Steuerung)</v>
          </cell>
        </row>
        <row r="55">
          <cell r="A55" t="str">
            <v>Elektrodenkappenwechsler</v>
          </cell>
        </row>
        <row r="56">
          <cell r="A56" t="str">
            <v>Entkoppler</v>
          </cell>
        </row>
        <row r="57">
          <cell r="A57" t="str">
            <v>Etikettierer</v>
          </cell>
        </row>
        <row r="58">
          <cell r="A58" t="str">
            <v>Fahrkabine</v>
          </cell>
        </row>
        <row r="59">
          <cell r="A59" t="str">
            <v>Fahrschiene, Fahrschalter</v>
          </cell>
        </row>
        <row r="60">
          <cell r="A60" t="str">
            <v>Fahrwerk, Farbwahl</v>
          </cell>
        </row>
        <row r="61">
          <cell r="A61" t="str">
            <v>Fahrzone</v>
          </cell>
        </row>
        <row r="62">
          <cell r="A62" t="str">
            <v>Fahrzoneneinspeisekasten (Fördertechnik)</v>
          </cell>
        </row>
        <row r="63">
          <cell r="A63" t="str">
            <v>Filter allgemein</v>
          </cell>
        </row>
        <row r="64">
          <cell r="A64" t="str">
            <v>Flüssigkeitsbehälter</v>
          </cell>
        </row>
        <row r="65">
          <cell r="A65" t="str">
            <v>Fördermittel</v>
          </cell>
        </row>
        <row r="66">
          <cell r="A66" t="str">
            <v>Frischluft</v>
          </cell>
        </row>
        <row r="67">
          <cell r="A67" t="str">
            <v>Fügen</v>
          </cell>
        </row>
        <row r="68">
          <cell r="A68" t="str">
            <v>Funktionsgruppe</v>
          </cell>
        </row>
        <row r="69">
          <cell r="A69" t="str">
            <v>Gehänge Schließstation</v>
          </cell>
        </row>
        <row r="70">
          <cell r="A70" t="str">
            <v>Gehänge Verstellstation</v>
          </cell>
        </row>
        <row r="71">
          <cell r="A71" t="str">
            <v>Geschwindigkeitserfassung (general)</v>
          </cell>
        </row>
        <row r="72">
          <cell r="A72" t="str">
            <v>Greifer (Handling) am Roboter</v>
          </cell>
        </row>
        <row r="73">
          <cell r="A73" t="str">
            <v>Gruppe</v>
          </cell>
        </row>
        <row r="74">
          <cell r="A74" t="str">
            <v>Gurt- / Zahnriemenförderer</v>
          </cell>
        </row>
        <row r="75">
          <cell r="A75" t="str">
            <v>Handlingsgerät</v>
          </cell>
        </row>
        <row r="76">
          <cell r="A76" t="str">
            <v>Hand-Vor-Ort-Bedieneinheit</v>
          </cell>
        </row>
        <row r="77">
          <cell r="A77" t="str">
            <v>Heizung</v>
          </cell>
        </row>
        <row r="78">
          <cell r="A78" t="str">
            <v>Hubbalken Block</v>
          </cell>
        </row>
        <row r="79">
          <cell r="A79" t="str">
            <v>Hubbalkenblock</v>
          </cell>
        </row>
        <row r="80">
          <cell r="A80" t="str">
            <v>Hubstation</v>
          </cell>
        </row>
        <row r="81">
          <cell r="A81" t="str">
            <v>Hubstation</v>
          </cell>
        </row>
        <row r="82">
          <cell r="A82" t="str">
            <v>Hubstation</v>
          </cell>
        </row>
        <row r="83">
          <cell r="A83" t="str">
            <v>Hubtisch</v>
          </cell>
        </row>
        <row r="84">
          <cell r="A84" t="str">
            <v>Hubtisch</v>
          </cell>
        </row>
        <row r="85">
          <cell r="A85" t="str">
            <v>Hubtisch</v>
          </cell>
        </row>
        <row r="86">
          <cell r="A86" t="str">
            <v>Hubwerk</v>
          </cell>
        </row>
        <row r="87">
          <cell r="A87" t="str">
            <v>Hydraulik</v>
          </cell>
        </row>
        <row r="88">
          <cell r="A88" t="str">
            <v>Hydraulikaggregat</v>
          </cell>
        </row>
        <row r="89">
          <cell r="A89" t="str">
            <v>Hydraulikaggregat</v>
          </cell>
        </row>
        <row r="90">
          <cell r="A90" t="str">
            <v>Identsystem</v>
          </cell>
        </row>
        <row r="91">
          <cell r="A91" t="str">
            <v>Industrie-Roboter</v>
          </cell>
        </row>
        <row r="92">
          <cell r="A92" t="str">
            <v>Inline-Messstation</v>
          </cell>
        </row>
        <row r="93">
          <cell r="A93" t="str">
            <v>Installationsnotaustaster</v>
          </cell>
        </row>
        <row r="94">
          <cell r="A94" t="str">
            <v>Kabine</v>
          </cell>
        </row>
        <row r="95">
          <cell r="A95" t="str">
            <v>Kamerasystem</v>
          </cell>
        </row>
        <row r="96">
          <cell r="A96" t="str">
            <v>Kappenfräser und E-Kappenwechsler</v>
          </cell>
        </row>
        <row r="97">
          <cell r="A97" t="str">
            <v>Karossenumsetzer</v>
          </cell>
        </row>
        <row r="98">
          <cell r="A98" t="str">
            <v>Karossenverriegelung</v>
          </cell>
        </row>
        <row r="99">
          <cell r="A99" t="str">
            <v>Kette Einlag., Kuppeleinheit, Klappstation</v>
          </cell>
        </row>
        <row r="100">
          <cell r="A100" t="str">
            <v>Kettenförderer</v>
          </cell>
        </row>
        <row r="101">
          <cell r="A101" t="str">
            <v>Kipptisch</v>
          </cell>
        </row>
        <row r="102">
          <cell r="A102" t="str">
            <v>Kleben allg., Klebe-Technik/Auftrag</v>
          </cell>
        </row>
        <row r="103">
          <cell r="A103" t="str">
            <v>Klebetechnik</v>
          </cell>
        </row>
        <row r="104">
          <cell r="A104" t="str">
            <v>Klemmkasten</v>
          </cell>
        </row>
        <row r="105">
          <cell r="A105" t="str">
            <v>Klemmung</v>
          </cell>
        </row>
        <row r="106">
          <cell r="A106" t="str">
            <v>Kühlen</v>
          </cell>
        </row>
        <row r="107">
          <cell r="A107" t="str">
            <v>Kühlzone</v>
          </cell>
        </row>
        <row r="108">
          <cell r="A108" t="str">
            <v>Kurvenblock</v>
          </cell>
        </row>
        <row r="109">
          <cell r="A109" t="str">
            <v>Kurvenblock</v>
          </cell>
        </row>
        <row r="110">
          <cell r="A110" t="str">
            <v>Längsförderer</v>
          </cell>
        </row>
        <row r="111">
          <cell r="A111" t="str">
            <v>Laserschweißen</v>
          </cell>
        </row>
        <row r="112">
          <cell r="A112" t="str">
            <v>Laufrollen</v>
          </cell>
        </row>
        <row r="113">
          <cell r="A113" t="str">
            <v>Leistungsschrank (evtl. inkl. Steu./ Einsp.)</v>
          </cell>
        </row>
        <row r="114">
          <cell r="A114" t="str">
            <v>Lenkradmesswaage</v>
          </cell>
        </row>
        <row r="115">
          <cell r="A115" t="str">
            <v>Luftaufbereitung</v>
          </cell>
        </row>
        <row r="116">
          <cell r="A116" t="str">
            <v>Makiersysteme (Präger, Nadelritzen,)</v>
          </cell>
        </row>
        <row r="117">
          <cell r="A117" t="str">
            <v>Medien-Modul (Roboter Luft und Wasser)</v>
          </cell>
        </row>
        <row r="118">
          <cell r="A118" t="str">
            <v>Medienplatte, Medieneinspeisung, Luftverbrauchsmessung (Fertigungsanlagen)</v>
          </cell>
        </row>
        <row r="119">
          <cell r="A119" t="str">
            <v>Meldeschiene, Messschrank</v>
          </cell>
        </row>
        <row r="120">
          <cell r="A120" t="str">
            <v>Messeinrichtung</v>
          </cell>
        </row>
        <row r="121">
          <cell r="A121" t="str">
            <v>Meßschlitten</v>
          </cell>
        </row>
        <row r="122">
          <cell r="A122" t="str">
            <v>Mischbehälter</v>
          </cell>
        </row>
        <row r="123">
          <cell r="A123" t="str">
            <v>Montageplatz, Montieren</v>
          </cell>
        </row>
        <row r="124">
          <cell r="A124" t="str">
            <v>Niederspannungsverteiler-Schrank</v>
          </cell>
        </row>
        <row r="125">
          <cell r="A125" t="str">
            <v>Nieten</v>
          </cell>
        </row>
        <row r="126">
          <cell r="A126" t="str">
            <v>Not-Aus</v>
          </cell>
        </row>
        <row r="127">
          <cell r="A127" t="str">
            <v>Notaus Schiene</v>
          </cell>
        </row>
        <row r="128">
          <cell r="A128" t="str">
            <v>Not-Aus Schiene Trennblock</v>
          </cell>
        </row>
        <row r="129">
          <cell r="A129" t="str">
            <v>Paternoster</v>
          </cell>
        </row>
        <row r="130">
          <cell r="A130" t="str">
            <v>PE-Prüfstation</v>
          </cell>
        </row>
        <row r="131">
          <cell r="A131" t="str">
            <v>Plattenband</v>
          </cell>
        </row>
        <row r="132">
          <cell r="A132" t="str">
            <v>Positioniereinrichtung / Zentrierung</v>
          </cell>
        </row>
        <row r="133">
          <cell r="A133" t="str">
            <v>Power and Free Förderanlage</v>
          </cell>
        </row>
        <row r="134">
          <cell r="A134" t="str">
            <v>Powerrail Booster Schiene A/B</v>
          </cell>
        </row>
        <row r="135">
          <cell r="A135" t="str">
            <v>Powerrail Booster Trennblock,
Portal</v>
          </cell>
        </row>
        <row r="136">
          <cell r="A136" t="str">
            <v>Primerauftrag</v>
          </cell>
        </row>
        <row r="137">
          <cell r="A137" t="str">
            <v>Protokolldrucker</v>
          </cell>
        </row>
        <row r="138">
          <cell r="A138" t="str">
            <v>Prozessleine</v>
          </cell>
        </row>
        <row r="139">
          <cell r="A139" t="str">
            <v>Prüf Station / Ausschleusstation</v>
          </cell>
        </row>
        <row r="140">
          <cell r="A140" t="str">
            <v>Prüfen</v>
          </cell>
        </row>
        <row r="141">
          <cell r="A141" t="str">
            <v>Prüfstation</v>
          </cell>
        </row>
        <row r="142">
          <cell r="A142" t="str">
            <v>Puffer, Pufferförderer</v>
          </cell>
        </row>
        <row r="143">
          <cell r="A143" t="str">
            <v>Pumpe</v>
          </cell>
        </row>
        <row r="144">
          <cell r="A144" t="str">
            <v>Querkettenförderer</v>
          </cell>
        </row>
        <row r="145">
          <cell r="A145" t="str">
            <v>Radstandsverstelleinheit</v>
          </cell>
        </row>
        <row r="146">
          <cell r="A146" t="str">
            <v>Rechnerschrank</v>
          </cell>
        </row>
        <row r="147">
          <cell r="A147" t="str">
            <v>Regal</v>
          </cell>
        </row>
        <row r="148">
          <cell r="A148" t="str">
            <v>Roboter</v>
          </cell>
        </row>
        <row r="149">
          <cell r="A149" t="str">
            <v>Rollenbahn</v>
          </cell>
        </row>
        <row r="150">
          <cell r="A150" t="str">
            <v>Rollenbahn</v>
          </cell>
        </row>
        <row r="151">
          <cell r="A151" t="str">
            <v>Rollenförderer</v>
          </cell>
        </row>
        <row r="152">
          <cell r="A152" t="str">
            <v>Rollenumsetzstation</v>
          </cell>
        </row>
        <row r="153">
          <cell r="A153" t="str">
            <v>Rolltor</v>
          </cell>
        </row>
        <row r="154">
          <cell r="A154" t="str">
            <v>Rücklauf</v>
          </cell>
        </row>
        <row r="155">
          <cell r="A155" t="str">
            <v>Rührwerk</v>
          </cell>
        </row>
        <row r="156">
          <cell r="A156" t="str">
            <v>Schieneneinspeisungen (Segment)</v>
          </cell>
        </row>
        <row r="157">
          <cell r="A157" t="str">
            <v>Schleppförderer</v>
          </cell>
        </row>
        <row r="158">
          <cell r="A158" t="str">
            <v>Schrauber Controller</v>
          </cell>
        </row>
        <row r="159">
          <cell r="A159" t="str">
            <v>Schubantrieb</v>
          </cell>
        </row>
        <row r="160">
          <cell r="A160" t="str">
            <v>Schutzgas</v>
          </cell>
        </row>
        <row r="161">
          <cell r="A161" t="str">
            <v>Schutztür</v>
          </cell>
        </row>
        <row r="162">
          <cell r="A162" t="str">
            <v>Schutztürriegel</v>
          </cell>
        </row>
        <row r="163">
          <cell r="A163" t="str">
            <v>Schutzzaun</v>
          </cell>
        </row>
        <row r="164">
          <cell r="A164" t="str">
            <v>Schweisskoffer</v>
          </cell>
        </row>
        <row r="165">
          <cell r="A165" t="str">
            <v>Schweisszange</v>
          </cell>
        </row>
        <row r="166">
          <cell r="A166" t="str">
            <v>Schwenkplatte
Schwenkeinrichtung / Schwenkeinheit/Schwenktisch</v>
          </cell>
        </row>
        <row r="167">
          <cell r="A167" t="str">
            <v>Servoeinheit</v>
          </cell>
        </row>
        <row r="168">
          <cell r="A168" t="str">
            <v>Shuttle</v>
          </cell>
        </row>
        <row r="169">
          <cell r="A169" t="str">
            <v>Shuttle / transfer</v>
          </cell>
        </row>
        <row r="170">
          <cell r="A170" t="str">
            <v>Sicherheits Block (Fördertechnik)</v>
          </cell>
        </row>
        <row r="171">
          <cell r="A171" t="str">
            <v>Sicherheitsblock</v>
          </cell>
        </row>
        <row r="172">
          <cell r="A172" t="str">
            <v>Signalaustausch</v>
          </cell>
        </row>
        <row r="173">
          <cell r="A173" t="str">
            <v>Speicher Regal / Bauteilablage (ohne Wertschöpfung)</v>
          </cell>
        </row>
        <row r="174">
          <cell r="A174" t="str">
            <v>Sperre</v>
          </cell>
        </row>
        <row r="175">
          <cell r="A175" t="str">
            <v>Stauförderer</v>
          </cell>
        </row>
        <row r="176">
          <cell r="A176" t="str">
            <v>Staukette</v>
          </cell>
        </row>
        <row r="177">
          <cell r="A177" t="str">
            <v>Stellgerät general</v>
          </cell>
        </row>
        <row r="178">
          <cell r="A178" t="str">
            <v>Steuerschrank (evtl. inkl. Leistung)</v>
          </cell>
        </row>
        <row r="179">
          <cell r="A179" t="str">
            <v>Stopper (Fördertechnik)</v>
          </cell>
        </row>
        <row r="180">
          <cell r="A180" t="str">
            <v>Teleskopgabel
Gabel</v>
          </cell>
        </row>
        <row r="181">
          <cell r="A181" t="str">
            <v>Terminal f. Dateneingabe; Datensichtger.</v>
          </cell>
        </row>
        <row r="182">
          <cell r="A182" t="str">
            <v>Träger</v>
          </cell>
        </row>
        <row r="183">
          <cell r="A183" t="str">
            <v>Tragkettenförderer</v>
          </cell>
        </row>
        <row r="184">
          <cell r="A184" t="str">
            <v>Transfer</v>
          </cell>
        </row>
        <row r="185">
          <cell r="A185" t="str">
            <v>Trennblock</v>
          </cell>
        </row>
        <row r="186">
          <cell r="A186" t="str">
            <v>Trennblockkasten (Fördertechnik)</v>
          </cell>
        </row>
        <row r="187">
          <cell r="A187" t="str">
            <v>Trockner</v>
          </cell>
        </row>
        <row r="188">
          <cell r="A188" t="str">
            <v>Typerkennung</v>
          </cell>
        </row>
        <row r="189">
          <cell r="A189" t="str">
            <v>Umluft</v>
          </cell>
        </row>
        <row r="190">
          <cell r="A190" t="str">
            <v>Umsetzeinheit (Übersetzer)</v>
          </cell>
        </row>
        <row r="191">
          <cell r="A191" t="str">
            <v>Umsetzstation, Umsetzeinheit, Übersetzer</v>
          </cell>
        </row>
        <row r="192">
          <cell r="A192" t="str">
            <v>Umsetzzone</v>
          </cell>
        </row>
        <row r="193">
          <cell r="A193" t="str">
            <v>Unterverteiler</v>
          </cell>
        </row>
        <row r="194">
          <cell r="A194" t="str">
            <v>Unterverteiler 
Klemmkasten
Schaltkasten</v>
          </cell>
        </row>
        <row r="195">
          <cell r="A195" t="str">
            <v>Ventilschrank</v>
          </cell>
        </row>
        <row r="196">
          <cell r="A196" t="str">
            <v>Ver- /Entriegelungsstation</v>
          </cell>
        </row>
        <row r="197">
          <cell r="A197" t="str">
            <v>Vereinzelung</v>
          </cell>
        </row>
        <row r="198">
          <cell r="A198" t="str">
            <v>Verriegelung</v>
          </cell>
        </row>
        <row r="199">
          <cell r="A199" t="str">
            <v>Verschiebewagen</v>
          </cell>
        </row>
        <row r="200">
          <cell r="A200" t="str">
            <v>Verschiebewagen</v>
          </cell>
        </row>
        <row r="201">
          <cell r="A201" t="str">
            <v>Vertikal Förderer</v>
          </cell>
        </row>
        <row r="202">
          <cell r="A202" t="str">
            <v>Vorlauf</v>
          </cell>
        </row>
        <row r="203">
          <cell r="A203" t="str">
            <v>Warte Block (Fördertechnik)</v>
          </cell>
        </row>
        <row r="204">
          <cell r="A204" t="str">
            <v>Wartungseinheit</v>
          </cell>
        </row>
        <row r="205">
          <cell r="A205" t="str">
            <v>Wartungseinheit</v>
          </cell>
        </row>
        <row r="206">
          <cell r="A206" t="str">
            <v>Waschanlage</v>
          </cell>
        </row>
        <row r="207">
          <cell r="A207" t="str">
            <v>Weiche</v>
          </cell>
        </row>
        <row r="208">
          <cell r="A208" t="str">
            <v>Weiche (Fördertechnik)</v>
          </cell>
        </row>
        <row r="209">
          <cell r="A209" t="str">
            <v>Werkermitfahrband, Warteblock</v>
          </cell>
        </row>
        <row r="210">
          <cell r="A210" t="str">
            <v>Werkerplatz mit Tor, Scanner oder Licht-vorhang</v>
          </cell>
        </row>
        <row r="211">
          <cell r="A211" t="str">
            <v>Werkertor</v>
          </cell>
        </row>
        <row r="212">
          <cell r="A212" t="str">
            <v>Werkzeug (Fertigungsanlagen)</v>
          </cell>
        </row>
        <row r="213">
          <cell r="A213" t="str">
            <v>Werkzeug general</v>
          </cell>
        </row>
        <row r="214">
          <cell r="A214" t="str">
            <v>Werkzeugablage (Robotergreifer, Zangenbahnhof)</v>
          </cell>
        </row>
        <row r="215">
          <cell r="A215" t="str">
            <v>Werkzeugwechsler</v>
          </cell>
        </row>
        <row r="216">
          <cell r="A216" t="str">
            <v>Wippe</v>
          </cell>
        </row>
        <row r="217">
          <cell r="A217" t="str">
            <v>Zuführeinheit (Kokat, Bauteilrutschen,Vereinzelner, Bauteilwagen)</v>
          </cell>
        </row>
        <row r="218">
          <cell r="A218" t="str">
            <v>Zug- Hubeinrichtung</v>
          </cell>
        </row>
        <row r="219">
          <cell r="A219" t="str">
            <v>Zuluft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>
    <tabColor rgb="FFFFFF00"/>
  </sheetPr>
  <dimension ref="A1:AE65"/>
  <sheetViews>
    <sheetView showGridLines="0" zoomScale="85" zoomScaleNormal="85" zoomScaleSheetLayoutView="90" workbookViewId="0">
      <pane ySplit="4" topLeftCell="A5" activePane="bottomLeft" state="frozen"/>
      <selection pane="bottomLeft" activeCell="J24" sqref="J24"/>
    </sheetView>
  </sheetViews>
  <sheetFormatPr baseColWidth="10" defaultColWidth="11.44140625" defaultRowHeight="13.2" outlineLevelRow="1" x14ac:dyDescent="0.25"/>
  <cols>
    <col min="1" max="1" width="4" customWidth="1"/>
    <col min="2" max="2" width="11.44140625" style="1"/>
    <col min="3" max="3" width="12.109375" customWidth="1"/>
    <col min="4" max="4" width="13.44140625" customWidth="1"/>
    <col min="5" max="5" width="2.33203125" style="1" customWidth="1"/>
    <col min="6" max="6" width="11.44140625" customWidth="1"/>
    <col min="8" max="8" width="13.33203125" customWidth="1"/>
    <col min="11" max="11" width="11.33203125" customWidth="1"/>
    <col min="12" max="12" width="3" style="1" customWidth="1"/>
    <col min="13" max="13" width="11.6640625" customWidth="1"/>
    <col min="14" max="14" width="5.109375" style="1" customWidth="1"/>
    <col min="15" max="15" width="3.109375" customWidth="1"/>
    <col min="16" max="16" width="3.109375" style="1" customWidth="1"/>
    <col min="17" max="17" width="25.33203125" customWidth="1"/>
    <col min="18" max="20" width="10.109375" customWidth="1"/>
    <col min="21" max="21" width="10.33203125" customWidth="1"/>
    <col min="22" max="22" width="10.109375" customWidth="1"/>
    <col min="23" max="23" width="11.109375" customWidth="1"/>
    <col min="24" max="24" width="10.33203125" customWidth="1"/>
    <col min="25" max="25" width="12.33203125" customWidth="1"/>
    <col min="26" max="26" width="12.44140625" customWidth="1"/>
    <col min="27" max="27" width="12.44140625" style="1" customWidth="1"/>
    <col min="28" max="29" width="12" style="1" customWidth="1"/>
    <col min="30" max="30" width="12.44140625" customWidth="1"/>
    <col min="31" max="31" width="3.44140625" customWidth="1"/>
  </cols>
  <sheetData>
    <row r="1" spans="1:31" s="1" customFormat="1" ht="9" customHeight="1" x14ac:dyDescent="0.25"/>
    <row r="2" spans="1:31" s="1" customFormat="1" ht="42" customHeight="1" x14ac:dyDescent="0.25">
      <c r="C2" s="153" t="s">
        <v>88</v>
      </c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</row>
    <row r="3" spans="1:31" s="45" customFormat="1" ht="24" customHeight="1" x14ac:dyDescent="0.25">
      <c r="C3" s="49" t="str">
        <f>C10</f>
        <v>Description and  Ticket Number or TPA/ Anlagenbeschreibung und Ticketnummer oder TPA (falls verfügbar)</v>
      </c>
    </row>
    <row r="4" spans="1:31" s="1" customFormat="1" ht="3" customHeight="1" x14ac:dyDescent="0.2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4"/>
      <c r="P4" s="4"/>
    </row>
    <row r="5" spans="1:31" x14ac:dyDescent="0.25">
      <c r="B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</row>
    <row r="6" spans="1:31" s="1" customFormat="1" ht="15.6" x14ac:dyDescent="0.3">
      <c r="B6" s="12" t="s">
        <v>62</v>
      </c>
      <c r="C6" s="8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Q6" s="12" t="s">
        <v>47</v>
      </c>
    </row>
    <row r="7" spans="1:31" ht="21" customHeight="1" outlineLevel="1" x14ac:dyDescent="0.25">
      <c r="B7" s="21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3"/>
      <c r="P7" s="50"/>
      <c r="Q7" s="51" t="s">
        <v>52</v>
      </c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/>
      <c r="AD7" s="52"/>
      <c r="AE7" s="53"/>
    </row>
    <row r="8" spans="1:31" ht="25.5" customHeight="1" outlineLevel="1" x14ac:dyDescent="0.25">
      <c r="B8" s="24"/>
      <c r="C8" s="39"/>
      <c r="D8" s="25"/>
      <c r="E8" s="25"/>
      <c r="F8" s="178"/>
      <c r="G8" s="173"/>
      <c r="H8" s="25"/>
      <c r="I8" s="11"/>
      <c r="J8" s="25"/>
      <c r="K8" s="166"/>
      <c r="L8" s="167"/>
      <c r="M8" s="25"/>
      <c r="N8" s="26"/>
      <c r="P8" s="54"/>
      <c r="Q8" s="164" t="s">
        <v>64</v>
      </c>
      <c r="R8" s="164"/>
      <c r="S8" s="164"/>
      <c r="T8" s="164"/>
      <c r="U8" s="164"/>
      <c r="V8" s="164"/>
      <c r="W8" s="164"/>
      <c r="X8" s="164"/>
      <c r="Y8" s="164"/>
      <c r="Z8" s="164"/>
      <c r="AA8" s="164"/>
      <c r="AB8" s="164"/>
      <c r="AC8" s="164"/>
      <c r="AD8" s="164"/>
      <c r="AE8" s="55"/>
    </row>
    <row r="9" spans="1:31" ht="24.75" customHeight="1" outlineLevel="1" x14ac:dyDescent="0.25">
      <c r="B9" s="24"/>
      <c r="C9" s="38" t="s">
        <v>12</v>
      </c>
      <c r="D9" s="25"/>
      <c r="E9" s="25"/>
      <c r="F9" s="38" t="s">
        <v>70</v>
      </c>
      <c r="G9" s="25"/>
      <c r="H9" s="25"/>
      <c r="I9" s="38" t="s">
        <v>13</v>
      </c>
      <c r="J9" s="25"/>
      <c r="K9" s="38" t="s">
        <v>14</v>
      </c>
      <c r="L9" s="7"/>
      <c r="M9" s="25"/>
      <c r="N9" s="26"/>
      <c r="P9" s="54"/>
      <c r="Q9" s="66" t="s">
        <v>75</v>
      </c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56"/>
      <c r="AD9" s="56"/>
      <c r="AE9" s="55"/>
    </row>
    <row r="10" spans="1:31" ht="30" customHeight="1" outlineLevel="1" x14ac:dyDescent="0.25">
      <c r="B10" s="24"/>
      <c r="C10" s="168" t="s">
        <v>80</v>
      </c>
      <c r="D10" s="169"/>
      <c r="E10" s="169"/>
      <c r="F10" s="169"/>
      <c r="G10" s="169"/>
      <c r="H10" s="169"/>
      <c r="I10" s="169"/>
      <c r="J10" s="169"/>
      <c r="K10" s="169"/>
      <c r="L10" s="170"/>
      <c r="M10" s="25"/>
      <c r="N10" s="26"/>
      <c r="P10" s="54"/>
      <c r="Q10" s="60"/>
      <c r="R10" s="47" t="s">
        <v>61</v>
      </c>
      <c r="S10" s="47" t="s">
        <v>60</v>
      </c>
      <c r="T10" s="47" t="s">
        <v>59</v>
      </c>
      <c r="U10" s="47" t="s">
        <v>58</v>
      </c>
      <c r="V10" s="47" t="s">
        <v>57</v>
      </c>
      <c r="W10" s="47" t="s">
        <v>56</v>
      </c>
      <c r="X10" s="48" t="s">
        <v>55</v>
      </c>
      <c r="Y10" s="47" t="s">
        <v>54</v>
      </c>
      <c r="Z10" s="47" t="s">
        <v>185</v>
      </c>
      <c r="AA10" s="47" t="s">
        <v>186</v>
      </c>
      <c r="AB10" s="47" t="s">
        <v>53</v>
      </c>
      <c r="AC10" s="47" t="s">
        <v>74</v>
      </c>
      <c r="AD10" s="48" t="s">
        <v>188</v>
      </c>
      <c r="AE10" s="55"/>
    </row>
    <row r="11" spans="1:31" ht="24" customHeight="1" outlineLevel="1" x14ac:dyDescent="0.25">
      <c r="B11" s="24"/>
      <c r="C11" s="38" t="s">
        <v>72</v>
      </c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6"/>
      <c r="P11" s="54"/>
      <c r="Q11" s="62" t="s">
        <v>77</v>
      </c>
      <c r="R11" s="62"/>
      <c r="S11" s="62"/>
      <c r="T11" s="62"/>
      <c r="U11" s="62"/>
      <c r="V11" s="63"/>
      <c r="W11" s="63"/>
      <c r="X11" s="62"/>
      <c r="Y11" s="62"/>
      <c r="Z11" s="62"/>
      <c r="AA11" s="62" t="s">
        <v>187</v>
      </c>
      <c r="AB11" s="62"/>
      <c r="AC11" s="62"/>
      <c r="AD11" s="62"/>
      <c r="AE11" s="55"/>
    </row>
    <row r="12" spans="1:31" ht="30" customHeight="1" outlineLevel="1" x14ac:dyDescent="0.3">
      <c r="B12" s="24"/>
      <c r="C12" s="179"/>
      <c r="D12" s="180"/>
      <c r="E12" s="180"/>
      <c r="F12" s="181"/>
      <c r="G12" s="25"/>
      <c r="H12" s="43" t="s">
        <v>78</v>
      </c>
      <c r="I12" s="25"/>
      <c r="J12" s="171"/>
      <c r="K12" s="172"/>
      <c r="L12" s="173"/>
      <c r="M12" s="25"/>
      <c r="N12" s="26"/>
      <c r="P12" s="54"/>
      <c r="Q12" s="62" t="s">
        <v>32</v>
      </c>
      <c r="R12" s="64" t="s">
        <v>51</v>
      </c>
      <c r="S12" s="65">
        <v>24</v>
      </c>
      <c r="T12" s="65" t="s">
        <v>49</v>
      </c>
      <c r="U12" s="65">
        <v>61</v>
      </c>
      <c r="V12" s="65">
        <v>50</v>
      </c>
      <c r="W12" s="65" t="s">
        <v>48</v>
      </c>
      <c r="X12" s="65">
        <v>10</v>
      </c>
      <c r="Y12" s="65">
        <v>71</v>
      </c>
      <c r="Z12" s="65">
        <v>71</v>
      </c>
      <c r="AA12" s="65">
        <v>71</v>
      </c>
      <c r="AB12" s="65">
        <v>72</v>
      </c>
      <c r="AC12" s="65">
        <v>35</v>
      </c>
      <c r="AD12" s="65">
        <v>30</v>
      </c>
      <c r="AE12" s="55"/>
    </row>
    <row r="13" spans="1:31" outlineLevel="1" x14ac:dyDescent="0.25">
      <c r="B13" s="24"/>
      <c r="C13" s="7" t="s">
        <v>15</v>
      </c>
      <c r="D13" s="25"/>
      <c r="E13" s="25"/>
      <c r="F13" s="25"/>
      <c r="G13" s="25"/>
      <c r="H13" s="7" t="s">
        <v>69</v>
      </c>
      <c r="I13" s="25"/>
      <c r="J13" s="7" t="s">
        <v>21</v>
      </c>
      <c r="K13" s="7"/>
      <c r="L13" s="7"/>
      <c r="M13" s="25"/>
      <c r="N13" s="26"/>
      <c r="P13" s="54"/>
      <c r="Q13" s="62" t="s">
        <v>184</v>
      </c>
      <c r="R13" s="64" t="s">
        <v>1</v>
      </c>
      <c r="S13" s="64" t="s">
        <v>1</v>
      </c>
      <c r="T13" s="64" t="s">
        <v>1</v>
      </c>
      <c r="U13" s="64" t="s">
        <v>1</v>
      </c>
      <c r="V13" s="64" t="s">
        <v>1</v>
      </c>
      <c r="W13" s="64" t="s">
        <v>1</v>
      </c>
      <c r="X13" s="64" t="s">
        <v>1</v>
      </c>
      <c r="Y13" s="64" t="s">
        <v>1</v>
      </c>
      <c r="Z13" s="64" t="s">
        <v>1</v>
      </c>
      <c r="AA13" s="64" t="s">
        <v>1</v>
      </c>
      <c r="AB13" s="64" t="s">
        <v>1</v>
      </c>
      <c r="AC13" s="64" t="s">
        <v>1</v>
      </c>
      <c r="AD13" s="64" t="s">
        <v>1</v>
      </c>
      <c r="AE13" s="55"/>
    </row>
    <row r="14" spans="1:31" ht="26.25" customHeight="1" outlineLevel="1" x14ac:dyDescent="0.25">
      <c r="B14" s="24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6"/>
      <c r="P14" s="54"/>
      <c r="Q14" s="63" t="s">
        <v>76</v>
      </c>
      <c r="R14" s="62" t="s">
        <v>89</v>
      </c>
      <c r="S14" s="62" t="s">
        <v>89</v>
      </c>
      <c r="T14" s="62" t="s">
        <v>89</v>
      </c>
      <c r="U14" s="62" t="s">
        <v>89</v>
      </c>
      <c r="V14" s="62" t="s">
        <v>89</v>
      </c>
      <c r="W14" s="62" t="s">
        <v>89</v>
      </c>
      <c r="X14" s="62" t="s">
        <v>89</v>
      </c>
      <c r="Y14" s="62" t="s">
        <v>89</v>
      </c>
      <c r="Z14" s="62" t="s">
        <v>89</v>
      </c>
      <c r="AA14" s="62" t="s">
        <v>89</v>
      </c>
      <c r="AB14" s="62" t="s">
        <v>89</v>
      </c>
      <c r="AC14" s="62" t="s">
        <v>89</v>
      </c>
      <c r="AD14" s="62" t="s">
        <v>89</v>
      </c>
      <c r="AE14" s="55"/>
    </row>
    <row r="15" spans="1:31" ht="12.75" customHeight="1" outlineLevel="1" x14ac:dyDescent="0.25">
      <c r="B15" s="24"/>
      <c r="C15" s="27" t="s">
        <v>18</v>
      </c>
      <c r="D15" s="46" t="s">
        <v>44</v>
      </c>
      <c r="E15" s="110" t="s">
        <v>11</v>
      </c>
      <c r="F15" s="28"/>
      <c r="G15" s="41"/>
      <c r="H15" s="174">
        <v>3</v>
      </c>
      <c r="I15" s="177" t="s">
        <v>93</v>
      </c>
      <c r="J15" s="25"/>
      <c r="K15" s="25"/>
      <c r="L15" s="25"/>
      <c r="M15" s="25"/>
      <c r="N15" s="26"/>
      <c r="P15" s="54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5"/>
    </row>
    <row r="16" spans="1:31" ht="12.75" customHeight="1" outlineLevel="1" x14ac:dyDescent="0.25">
      <c r="B16" s="24"/>
      <c r="C16" s="27" t="s">
        <v>17</v>
      </c>
      <c r="D16" s="7" t="s">
        <v>45</v>
      </c>
      <c r="E16" s="28"/>
      <c r="F16" s="28"/>
      <c r="G16" s="25"/>
      <c r="H16" s="175"/>
      <c r="I16" s="177"/>
      <c r="J16" s="25"/>
      <c r="K16" s="25"/>
      <c r="L16" s="25"/>
      <c r="M16" s="25"/>
      <c r="N16" s="26"/>
      <c r="P16" s="54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5"/>
    </row>
    <row r="17" spans="2:31" ht="12.75" customHeight="1" outlineLevel="1" x14ac:dyDescent="0.25">
      <c r="B17" s="24"/>
      <c r="C17" s="25"/>
      <c r="D17" s="7"/>
      <c r="E17" s="28"/>
      <c r="F17" s="28"/>
      <c r="G17" s="25"/>
      <c r="H17" s="174">
        <v>1</v>
      </c>
      <c r="I17" s="177" t="s">
        <v>120</v>
      </c>
      <c r="J17" s="25"/>
      <c r="K17" s="25"/>
      <c r="L17" s="25"/>
      <c r="M17" s="25"/>
      <c r="N17" s="26"/>
      <c r="P17" s="54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5"/>
    </row>
    <row r="18" spans="2:31" s="1" customFormat="1" ht="12.75" customHeight="1" outlineLevel="1" x14ac:dyDescent="0.25">
      <c r="B18" s="24"/>
      <c r="C18" s="27" t="s">
        <v>16</v>
      </c>
      <c r="D18" s="7" t="s">
        <v>19</v>
      </c>
      <c r="E18" s="110"/>
      <c r="F18" s="28"/>
      <c r="G18" s="25"/>
      <c r="H18" s="175"/>
      <c r="I18" s="177"/>
      <c r="J18" s="25"/>
      <c r="K18" s="25"/>
      <c r="L18" s="25"/>
      <c r="M18" s="25"/>
      <c r="N18" s="26"/>
      <c r="P18" s="54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5"/>
    </row>
    <row r="19" spans="2:31" s="1" customFormat="1" ht="12.75" customHeight="1" outlineLevel="1" x14ac:dyDescent="0.25">
      <c r="B19" s="24"/>
      <c r="C19" s="25"/>
      <c r="D19" s="7" t="s">
        <v>43</v>
      </c>
      <c r="E19" s="111"/>
      <c r="F19" s="28"/>
      <c r="G19" s="25"/>
      <c r="H19" s="174">
        <v>1</v>
      </c>
      <c r="I19" s="177" t="s">
        <v>201</v>
      </c>
      <c r="J19" s="25"/>
      <c r="K19" s="25"/>
      <c r="L19" s="25"/>
      <c r="M19" s="25"/>
      <c r="N19" s="26"/>
      <c r="P19" s="54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5"/>
    </row>
    <row r="20" spans="2:31" s="1" customFormat="1" ht="12.75" customHeight="1" outlineLevel="1" x14ac:dyDescent="0.25">
      <c r="B20" s="24"/>
      <c r="C20" s="25"/>
      <c r="D20" s="7"/>
      <c r="E20" s="28"/>
      <c r="F20" s="28"/>
      <c r="G20" s="25"/>
      <c r="H20" s="175"/>
      <c r="I20" s="177"/>
      <c r="J20" s="25"/>
      <c r="K20" s="25"/>
      <c r="L20" s="25"/>
      <c r="M20" s="25"/>
      <c r="N20" s="26"/>
      <c r="P20" s="54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5"/>
    </row>
    <row r="21" spans="2:31" ht="12.75" customHeight="1" outlineLevel="1" x14ac:dyDescent="0.25">
      <c r="B21" s="29"/>
      <c r="C21" s="30"/>
      <c r="D21" s="31"/>
      <c r="E21" s="32"/>
      <c r="F21" s="32"/>
      <c r="G21" s="30"/>
      <c r="H21" s="30" t="s">
        <v>207</v>
      </c>
      <c r="I21" s="30"/>
      <c r="J21" s="30"/>
      <c r="K21" s="30"/>
      <c r="L21" s="30"/>
      <c r="M21" s="30"/>
      <c r="N21" s="33"/>
      <c r="P21" s="58"/>
      <c r="Q21" s="59"/>
      <c r="R21" s="59"/>
      <c r="S21" s="59"/>
      <c r="T21" s="59"/>
      <c r="U21" s="59"/>
      <c r="V21" s="59"/>
      <c r="W21" s="59"/>
      <c r="X21" s="59"/>
      <c r="Y21" s="59"/>
      <c r="Z21" s="59"/>
      <c r="AA21" s="59"/>
      <c r="AB21" s="59"/>
      <c r="AC21" s="59"/>
      <c r="AD21" s="59"/>
      <c r="AE21" s="57"/>
    </row>
    <row r="22" spans="2:31" s="9" customFormat="1" outlineLevel="1" x14ac:dyDescent="0.25">
      <c r="D22" s="15"/>
      <c r="E22" s="14"/>
      <c r="F22" s="14"/>
      <c r="H22" s="14"/>
    </row>
    <row r="23" spans="2:31" s="9" customFormat="1" ht="17.25" customHeight="1" outlineLevel="1" x14ac:dyDescent="0.25">
      <c r="B23" s="21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3"/>
      <c r="P23" s="50"/>
      <c r="Q23" s="76" t="s">
        <v>68</v>
      </c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3"/>
    </row>
    <row r="24" spans="2:31" s="1" customFormat="1" ht="30" customHeight="1" outlineLevel="1" x14ac:dyDescent="0.3">
      <c r="B24" s="24"/>
      <c r="C24" s="44" t="s">
        <v>89</v>
      </c>
      <c r="D24" s="7"/>
      <c r="E24" s="28"/>
      <c r="F24" s="28"/>
      <c r="G24" s="42">
        <v>11</v>
      </c>
      <c r="H24" s="28"/>
      <c r="I24" s="25"/>
      <c r="J24" s="43" t="s">
        <v>79</v>
      </c>
      <c r="K24" s="25"/>
      <c r="L24" s="25"/>
      <c r="M24" s="25"/>
      <c r="N24" s="26"/>
      <c r="P24" s="54"/>
      <c r="Q24" s="164" t="s">
        <v>167</v>
      </c>
      <c r="R24" s="164"/>
      <c r="S24" s="164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5"/>
    </row>
    <row r="25" spans="2:31" s="1" customFormat="1" ht="18.75" customHeight="1" outlineLevel="1" x14ac:dyDescent="0.25">
      <c r="B25" s="24"/>
      <c r="C25" s="38" t="s">
        <v>165</v>
      </c>
      <c r="D25" s="7"/>
      <c r="E25" s="28"/>
      <c r="F25" s="28"/>
      <c r="G25" s="81" t="s">
        <v>46</v>
      </c>
      <c r="H25" s="28"/>
      <c r="I25" s="25"/>
      <c r="J25" s="38" t="s">
        <v>166</v>
      </c>
      <c r="K25" s="25"/>
      <c r="L25" s="25"/>
      <c r="M25" s="25"/>
      <c r="N25" s="26"/>
      <c r="P25" s="54"/>
      <c r="Q25" s="164"/>
      <c r="R25" s="164"/>
      <c r="S25" s="164"/>
      <c r="T25" s="56"/>
      <c r="U25" s="75"/>
      <c r="V25" s="56"/>
      <c r="W25" s="56"/>
      <c r="X25" s="56"/>
      <c r="Y25" s="56"/>
      <c r="Z25" s="56"/>
      <c r="AA25" s="56"/>
      <c r="AB25" s="56"/>
      <c r="AC25" s="56"/>
      <c r="AD25" s="56"/>
      <c r="AE25" s="55"/>
    </row>
    <row r="26" spans="2:31" s="1" customFormat="1" outlineLevel="1" x14ac:dyDescent="0.25">
      <c r="B26" s="29"/>
      <c r="C26" s="31"/>
      <c r="D26" s="31"/>
      <c r="E26" s="32"/>
      <c r="F26" s="32"/>
      <c r="G26" s="32"/>
      <c r="H26" s="32"/>
      <c r="I26" s="30"/>
      <c r="J26" s="31"/>
      <c r="K26" s="30"/>
      <c r="L26" s="30"/>
      <c r="M26" s="30"/>
      <c r="N26" s="33"/>
      <c r="P26" s="58"/>
      <c r="Q26" s="176"/>
      <c r="R26" s="176"/>
      <c r="S26" s="176"/>
      <c r="T26" s="59"/>
      <c r="U26" s="59"/>
      <c r="V26" s="59"/>
      <c r="W26" s="59"/>
      <c r="X26" s="59"/>
      <c r="Y26" s="59"/>
      <c r="Z26" s="59"/>
      <c r="AA26" s="59"/>
      <c r="AB26" s="59"/>
      <c r="AC26" s="59"/>
      <c r="AD26" s="59"/>
      <c r="AE26" s="57"/>
    </row>
    <row r="27" spans="2:31" s="9" customFormat="1" outlineLevel="1" x14ac:dyDescent="0.25">
      <c r="D27" s="15"/>
      <c r="E27" s="13"/>
      <c r="F27" s="14"/>
      <c r="H27" s="14"/>
    </row>
    <row r="28" spans="2:31" s="1" customFormat="1" ht="19.5" customHeight="1" outlineLevel="1" x14ac:dyDescent="0.25">
      <c r="B28" s="21"/>
      <c r="C28" s="77" t="s">
        <v>50</v>
      </c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3"/>
      <c r="P28" s="50"/>
      <c r="Q28" s="51" t="s">
        <v>84</v>
      </c>
      <c r="R28" s="52"/>
      <c r="S28" s="52"/>
      <c r="T28" s="52"/>
      <c r="U28" s="52"/>
      <c r="V28" s="52"/>
      <c r="W28" s="52"/>
      <c r="X28" s="51" t="s">
        <v>67</v>
      </c>
      <c r="Y28" s="52"/>
      <c r="Z28" s="52"/>
      <c r="AA28" s="52"/>
      <c r="AB28" s="52"/>
      <c r="AC28" s="52"/>
      <c r="AD28" s="52"/>
      <c r="AE28" s="53"/>
    </row>
    <row r="29" spans="2:31" s="1" customFormat="1" ht="12.75" customHeight="1" outlineLevel="1" x14ac:dyDescent="0.25">
      <c r="B29" s="24"/>
      <c r="C29" s="27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6"/>
      <c r="P29" s="54"/>
      <c r="Q29" s="165" t="s">
        <v>85</v>
      </c>
      <c r="R29" s="165"/>
      <c r="S29" s="165"/>
      <c r="T29" s="165"/>
      <c r="U29" s="165"/>
      <c r="V29" s="74"/>
      <c r="W29" s="74"/>
      <c r="X29" s="74" t="s">
        <v>82</v>
      </c>
      <c r="Y29" s="74"/>
      <c r="Z29" s="74"/>
      <c r="AA29" s="74"/>
      <c r="AB29" s="74"/>
      <c r="AC29" s="74"/>
      <c r="AD29" s="74"/>
      <c r="AE29" s="55"/>
    </row>
    <row r="30" spans="2:31" s="1" customFormat="1" outlineLevel="1" x14ac:dyDescent="0.25">
      <c r="B30" s="24"/>
      <c r="C30" s="27" t="s">
        <v>168</v>
      </c>
      <c r="D30" s="25"/>
      <c r="E30" s="25"/>
      <c r="F30" s="25"/>
      <c r="G30" s="7" t="s">
        <v>169</v>
      </c>
      <c r="H30" s="25"/>
      <c r="I30" s="25"/>
      <c r="J30" s="25"/>
      <c r="K30" s="25"/>
      <c r="L30" s="25"/>
      <c r="M30" s="25"/>
      <c r="N30" s="26"/>
      <c r="P30" s="54"/>
      <c r="Q30" s="165"/>
      <c r="R30" s="165"/>
      <c r="S30" s="165"/>
      <c r="T30" s="165"/>
      <c r="U30" s="165"/>
      <c r="V30" s="74"/>
      <c r="W30" s="74"/>
      <c r="X30" s="74" t="s">
        <v>83</v>
      </c>
      <c r="Y30" s="74"/>
      <c r="Z30" s="74"/>
      <c r="AA30" s="74"/>
      <c r="AB30" s="74"/>
      <c r="AC30" s="74"/>
      <c r="AD30" s="74"/>
      <c r="AE30" s="55"/>
    </row>
    <row r="31" spans="2:31" s="1" customFormat="1" ht="30" customHeight="1" outlineLevel="1" x14ac:dyDescent="0.3">
      <c r="B31" s="24"/>
      <c r="C31" s="159" t="s">
        <v>89</v>
      </c>
      <c r="D31" s="160"/>
      <c r="E31" s="25"/>
      <c r="F31" s="25"/>
      <c r="G31" s="159" t="str">
        <f>H12</f>
        <v>TMOAKZ01</v>
      </c>
      <c r="H31" s="160"/>
      <c r="I31" s="25"/>
      <c r="J31" s="159">
        <v>102</v>
      </c>
      <c r="K31" s="160"/>
      <c r="L31" s="25"/>
      <c r="M31" s="25"/>
      <c r="N31" s="26" t="s">
        <v>0</v>
      </c>
      <c r="P31" s="54"/>
      <c r="Q31" s="182" t="s">
        <v>86</v>
      </c>
      <c r="R31" s="182"/>
      <c r="S31" s="182"/>
      <c r="T31" s="182"/>
      <c r="U31" s="182"/>
      <c r="V31" s="74"/>
      <c r="W31" s="74"/>
      <c r="X31" s="74"/>
      <c r="Y31" s="74"/>
      <c r="Z31" s="74"/>
      <c r="AA31" s="74"/>
      <c r="AB31" s="74"/>
      <c r="AC31" s="74"/>
      <c r="AD31" s="74"/>
      <c r="AE31" s="55"/>
    </row>
    <row r="32" spans="2:31" s="1" customFormat="1" ht="12.75" customHeight="1" outlineLevel="1" x14ac:dyDescent="0.25">
      <c r="B32" s="24"/>
      <c r="C32" s="7" t="s">
        <v>171</v>
      </c>
      <c r="D32" s="83"/>
      <c r="E32" s="25"/>
      <c r="F32" s="25"/>
      <c r="G32" s="184" t="s">
        <v>172</v>
      </c>
      <c r="H32" s="184"/>
      <c r="I32" s="25" t="s">
        <v>0</v>
      </c>
      <c r="J32" s="7" t="s">
        <v>20</v>
      </c>
      <c r="K32" s="25"/>
      <c r="L32" s="25"/>
      <c r="M32" s="25"/>
      <c r="N32" s="26"/>
      <c r="P32" s="54"/>
      <c r="Q32" s="79" t="s">
        <v>87</v>
      </c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5"/>
    </row>
    <row r="33" spans="2:31" s="1" customFormat="1" outlineLevel="1" x14ac:dyDescent="0.25">
      <c r="B33" s="29"/>
      <c r="C33" s="84" t="s">
        <v>170</v>
      </c>
      <c r="D33" s="84"/>
      <c r="E33" s="30"/>
      <c r="F33" s="30"/>
      <c r="G33" s="31" t="s">
        <v>173</v>
      </c>
      <c r="H33" s="30"/>
      <c r="I33" s="30"/>
      <c r="J33" s="30"/>
      <c r="K33" s="30"/>
      <c r="L33" s="30"/>
      <c r="M33" s="30"/>
      <c r="N33" s="33"/>
      <c r="P33" s="58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7"/>
    </row>
    <row r="34" spans="2:31" x14ac:dyDescent="0.25">
      <c r="I34" s="1" t="s">
        <v>0</v>
      </c>
      <c r="AA34"/>
    </row>
    <row r="35" spans="2:31" ht="30.75" customHeight="1" x14ac:dyDescent="0.3">
      <c r="B35" s="12" t="s">
        <v>63</v>
      </c>
    </row>
    <row r="36" spans="2:31" s="1" customFormat="1" ht="12" customHeight="1" x14ac:dyDescent="0.3">
      <c r="B36" s="67"/>
      <c r="C36" s="69"/>
      <c r="D36" s="22"/>
      <c r="E36" s="22"/>
      <c r="F36" s="22"/>
      <c r="G36" s="69"/>
      <c r="H36" s="69"/>
      <c r="I36" s="22"/>
      <c r="J36" s="22"/>
      <c r="K36" s="22"/>
      <c r="L36" s="22"/>
      <c r="M36" s="22"/>
      <c r="N36" s="23"/>
    </row>
    <row r="37" spans="2:31" s="1" customFormat="1" ht="12" customHeight="1" thickBot="1" x14ac:dyDescent="0.35">
      <c r="B37" s="68"/>
      <c r="C37" s="7" t="s">
        <v>65</v>
      </c>
      <c r="D37" s="25"/>
      <c r="E37" s="25"/>
      <c r="F37" s="25"/>
      <c r="G37" s="7" t="s">
        <v>66</v>
      </c>
      <c r="H37" s="7"/>
      <c r="I37" s="25"/>
      <c r="J37" s="7" t="s">
        <v>73</v>
      </c>
      <c r="K37" s="25"/>
      <c r="L37" s="25"/>
      <c r="M37" s="25"/>
      <c r="N37" s="26"/>
    </row>
    <row r="38" spans="2:31" s="1" customFormat="1" ht="30" customHeight="1" thickBot="1" x14ac:dyDescent="0.35">
      <c r="B38" s="68"/>
      <c r="C38" s="161"/>
      <c r="D38" s="162"/>
      <c r="E38" s="163"/>
      <c r="F38" s="25"/>
      <c r="G38" s="161"/>
      <c r="H38" s="163"/>
      <c r="I38" s="25"/>
      <c r="J38" s="161"/>
      <c r="K38" s="163"/>
      <c r="L38" s="25"/>
      <c r="M38" s="25"/>
      <c r="N38" s="26"/>
    </row>
    <row r="39" spans="2:31" ht="36.75" customHeight="1" outlineLevel="1" x14ac:dyDescent="0.25">
      <c r="B39" s="24"/>
      <c r="C39" s="31" t="s">
        <v>41</v>
      </c>
      <c r="D39" s="30"/>
      <c r="E39" s="30"/>
      <c r="F39" s="25"/>
      <c r="G39" s="25"/>
      <c r="H39" s="25"/>
      <c r="I39" s="25"/>
      <c r="J39" s="25"/>
      <c r="K39" s="25"/>
      <c r="L39" s="25"/>
      <c r="M39" s="25"/>
      <c r="N39" s="26"/>
    </row>
    <row r="40" spans="2:31" ht="63" customHeight="1" outlineLevel="1" x14ac:dyDescent="0.25">
      <c r="B40" s="24"/>
      <c r="C40" s="183"/>
      <c r="D40" s="183"/>
      <c r="E40" s="183"/>
      <c r="F40" s="183"/>
      <c r="G40" s="183"/>
      <c r="H40" s="183"/>
      <c r="I40" s="183"/>
      <c r="J40" s="183"/>
      <c r="K40" s="183"/>
      <c r="L40" s="183"/>
      <c r="M40" s="25"/>
      <c r="N40" s="26"/>
    </row>
    <row r="41" spans="2:31" ht="35.25" customHeight="1" outlineLevel="1" x14ac:dyDescent="0.25">
      <c r="B41" s="24"/>
      <c r="C41" s="7" t="s">
        <v>42</v>
      </c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6"/>
    </row>
    <row r="42" spans="2:31" ht="90" customHeight="1" outlineLevel="1" x14ac:dyDescent="0.25">
      <c r="B42" s="24"/>
      <c r="C42" s="183"/>
      <c r="D42" s="183"/>
      <c r="E42" s="183"/>
      <c r="F42" s="183"/>
      <c r="G42" s="183"/>
      <c r="H42" s="183"/>
      <c r="I42" s="183"/>
      <c r="J42" s="183"/>
      <c r="K42" s="183"/>
      <c r="L42" s="183"/>
      <c r="M42" s="25"/>
      <c r="N42" s="26"/>
      <c r="P42" s="70"/>
      <c r="Q42" s="70"/>
    </row>
    <row r="43" spans="2:31" outlineLevel="1" x14ac:dyDescent="0.25">
      <c r="B43" s="24"/>
      <c r="C43" s="7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6"/>
      <c r="P43" s="70"/>
      <c r="Q43" s="70"/>
    </row>
    <row r="44" spans="2:31" s="1" customFormat="1" outlineLevel="1" x14ac:dyDescent="0.25">
      <c r="B44" s="24"/>
      <c r="C44" s="7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6"/>
      <c r="P44" s="70"/>
      <c r="Q44" s="70"/>
    </row>
    <row r="45" spans="2:31" s="1" customFormat="1" outlineLevel="1" x14ac:dyDescent="0.25">
      <c r="B45" s="24"/>
      <c r="C45" s="20" t="s">
        <v>33</v>
      </c>
      <c r="D45" s="157" t="s">
        <v>14</v>
      </c>
      <c r="E45" s="157"/>
      <c r="F45" s="157" t="s">
        <v>34</v>
      </c>
      <c r="G45" s="157"/>
      <c r="H45" s="155" t="s">
        <v>35</v>
      </c>
      <c r="I45" s="155"/>
      <c r="J45" s="155"/>
      <c r="K45" s="155"/>
      <c r="L45" s="155"/>
      <c r="M45" s="25"/>
      <c r="N45" s="26"/>
      <c r="P45" s="70"/>
      <c r="Q45" s="70"/>
    </row>
    <row r="46" spans="2:31" s="1" customFormat="1" outlineLevel="1" x14ac:dyDescent="0.25">
      <c r="B46" s="24"/>
      <c r="C46" s="10"/>
      <c r="D46" s="156"/>
      <c r="E46" s="156"/>
      <c r="F46" s="158"/>
      <c r="G46" s="158"/>
      <c r="H46" s="154"/>
      <c r="I46" s="154"/>
      <c r="J46" s="154"/>
      <c r="K46" s="154"/>
      <c r="L46" s="154"/>
      <c r="M46" s="25"/>
      <c r="N46" s="26"/>
      <c r="P46" s="70"/>
      <c r="Q46" s="70"/>
    </row>
    <row r="47" spans="2:31" s="1" customFormat="1" outlineLevel="1" x14ac:dyDescent="0.25">
      <c r="B47" s="24"/>
      <c r="C47" s="10"/>
      <c r="D47" s="156"/>
      <c r="E47" s="156"/>
      <c r="F47" s="158"/>
      <c r="G47" s="158"/>
      <c r="H47" s="154"/>
      <c r="I47" s="154"/>
      <c r="J47" s="154"/>
      <c r="K47" s="154"/>
      <c r="L47" s="154"/>
      <c r="M47" s="25"/>
      <c r="N47" s="26"/>
    </row>
    <row r="48" spans="2:31" s="1" customFormat="1" outlineLevel="1" x14ac:dyDescent="0.25">
      <c r="B48" s="24"/>
      <c r="C48" s="10"/>
      <c r="D48" s="156"/>
      <c r="E48" s="156"/>
      <c r="F48" s="158"/>
      <c r="G48" s="158"/>
      <c r="H48" s="154"/>
      <c r="I48" s="154"/>
      <c r="J48" s="154"/>
      <c r="K48" s="154"/>
      <c r="L48" s="154"/>
      <c r="M48" s="25"/>
      <c r="N48" s="26"/>
    </row>
    <row r="49" spans="2:31" s="1" customFormat="1" outlineLevel="1" x14ac:dyDescent="0.25">
      <c r="B49" s="24"/>
      <c r="C49" s="10"/>
      <c r="D49" s="156"/>
      <c r="E49" s="156"/>
      <c r="F49" s="158"/>
      <c r="G49" s="158"/>
      <c r="H49" s="154"/>
      <c r="I49" s="154"/>
      <c r="J49" s="154"/>
      <c r="K49" s="154"/>
      <c r="L49" s="154"/>
      <c r="M49" s="25"/>
      <c r="N49" s="26"/>
    </row>
    <row r="50" spans="2:31" outlineLevel="1" x14ac:dyDescent="0.25">
      <c r="B50" s="29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3"/>
    </row>
    <row r="51" spans="2:31" s="1" customFormat="1" x14ac:dyDescent="0.25"/>
    <row r="52" spans="2:31" ht="30.75" customHeight="1" x14ac:dyDescent="0.3">
      <c r="B52" s="12" t="s">
        <v>81</v>
      </c>
      <c r="C52" s="1"/>
      <c r="D52" s="1"/>
      <c r="F52" s="1"/>
      <c r="G52" s="1"/>
      <c r="H52" s="1"/>
      <c r="I52" s="1"/>
      <c r="J52" s="1"/>
      <c r="K52" s="1"/>
      <c r="M52" s="1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</row>
    <row r="53" spans="2:31" outlineLevel="1" x14ac:dyDescent="0.25">
      <c r="B53" s="21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3"/>
      <c r="P53" s="50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  <c r="AC53" s="52"/>
      <c r="AD53" s="52"/>
      <c r="AE53" s="53"/>
    </row>
    <row r="54" spans="2:31" s="1" customFormat="1" ht="20.25" customHeight="1" outlineLevel="1" x14ac:dyDescent="0.25">
      <c r="B54" s="24"/>
      <c r="C54" s="27"/>
      <c r="D54" s="25"/>
      <c r="E54" s="25"/>
      <c r="F54" s="25"/>
      <c r="G54" s="25"/>
      <c r="H54" s="25"/>
      <c r="I54" s="25"/>
      <c r="J54" s="25"/>
      <c r="K54" s="27"/>
      <c r="L54" s="27"/>
      <c r="M54" s="27"/>
      <c r="N54" s="26"/>
      <c r="P54" s="54"/>
      <c r="Q54" s="78"/>
      <c r="R54" s="56"/>
      <c r="S54" s="56"/>
      <c r="T54" s="56"/>
      <c r="U54" s="56"/>
      <c r="V54" s="56"/>
      <c r="W54" s="56"/>
      <c r="X54" s="78"/>
      <c r="Y54" s="56"/>
      <c r="Z54" s="56"/>
      <c r="AA54" s="56"/>
      <c r="AB54" s="56"/>
      <c r="AC54" s="56"/>
      <c r="AD54" s="56"/>
      <c r="AE54" s="55"/>
    </row>
    <row r="55" spans="2:31" ht="26.25" customHeight="1" outlineLevel="1" x14ac:dyDescent="0.25">
      <c r="B55" s="24"/>
      <c r="C55" s="25"/>
      <c r="D55" s="25"/>
      <c r="E55" s="25"/>
      <c r="F55" s="25"/>
      <c r="G55" s="25"/>
      <c r="H55" s="25"/>
      <c r="I55" s="25"/>
      <c r="J55" s="25"/>
      <c r="K55" s="38"/>
      <c r="L55" s="25"/>
      <c r="M55" s="25"/>
      <c r="N55" s="26"/>
      <c r="P55" s="54"/>
      <c r="Q55" s="80"/>
      <c r="R55" s="74"/>
      <c r="S55" s="74"/>
      <c r="T55" s="74"/>
      <c r="U55" s="74"/>
      <c r="V55" s="74"/>
      <c r="W55" s="74"/>
      <c r="X55" s="165"/>
      <c r="Y55" s="165"/>
      <c r="Z55" s="165"/>
      <c r="AA55" s="165"/>
      <c r="AB55" s="165"/>
      <c r="AC55" s="165"/>
      <c r="AD55" s="165"/>
      <c r="AE55" s="55"/>
    </row>
    <row r="56" spans="2:31" ht="20.25" customHeight="1" outlineLevel="1" x14ac:dyDescent="0.25">
      <c r="B56" s="24"/>
      <c r="C56" s="25"/>
      <c r="D56" s="25"/>
      <c r="E56" s="25"/>
      <c r="F56" s="25"/>
      <c r="G56" s="25"/>
      <c r="H56" s="25"/>
      <c r="I56" s="25"/>
      <c r="J56" s="25"/>
      <c r="K56" s="37"/>
      <c r="L56" s="25"/>
      <c r="M56" s="25"/>
      <c r="N56" s="26"/>
      <c r="P56" s="54"/>
      <c r="Q56" s="85" t="s">
        <v>150</v>
      </c>
      <c r="R56" s="86" t="s">
        <v>151</v>
      </c>
      <c r="S56" s="86"/>
      <c r="T56" s="86"/>
      <c r="U56" s="86"/>
      <c r="V56" s="86" t="s">
        <v>152</v>
      </c>
      <c r="W56" s="86"/>
      <c r="X56" s="66"/>
      <c r="Y56" s="79"/>
      <c r="Z56" s="79"/>
      <c r="AA56" s="79"/>
      <c r="AB56" s="79"/>
      <c r="AC56" s="79"/>
      <c r="AD56" s="79"/>
      <c r="AE56" s="55"/>
    </row>
    <row r="57" spans="2:31" s="1" customFormat="1" ht="20.100000000000001" customHeight="1" outlineLevel="1" x14ac:dyDescent="0.25">
      <c r="B57" s="24"/>
      <c r="C57" s="25"/>
      <c r="D57" s="25"/>
      <c r="E57" s="25"/>
      <c r="F57" s="25"/>
      <c r="G57" s="25"/>
      <c r="H57" s="25"/>
      <c r="I57" s="25"/>
      <c r="J57" s="25"/>
      <c r="K57" s="38"/>
      <c r="L57" s="25"/>
      <c r="M57" s="25"/>
      <c r="N57" s="26"/>
      <c r="P57" s="54"/>
      <c r="Q57" s="79"/>
      <c r="R57" s="74" t="s">
        <v>153</v>
      </c>
      <c r="S57" s="74"/>
      <c r="T57" s="74"/>
      <c r="U57" s="74"/>
      <c r="V57" s="74" t="s">
        <v>153</v>
      </c>
      <c r="W57" s="74"/>
      <c r="X57" s="165"/>
      <c r="Y57" s="165"/>
      <c r="Z57" s="165"/>
      <c r="AA57" s="165"/>
      <c r="AB57" s="165"/>
      <c r="AC57" s="165"/>
      <c r="AD57" s="165"/>
      <c r="AE57" s="55"/>
    </row>
    <row r="58" spans="2:31" s="1" customFormat="1" ht="20.100000000000001" customHeight="1" outlineLevel="1" x14ac:dyDescent="0.25">
      <c r="B58" s="24"/>
      <c r="C58" s="25"/>
      <c r="D58" s="25"/>
      <c r="E58" s="25"/>
      <c r="F58" s="25"/>
      <c r="G58" s="25"/>
      <c r="H58" s="25"/>
      <c r="I58" s="25"/>
      <c r="J58" s="25"/>
      <c r="K58" s="38"/>
      <c r="L58" s="25"/>
      <c r="M58" s="38"/>
      <c r="N58" s="26"/>
      <c r="P58" s="54"/>
      <c r="Q58" s="79"/>
      <c r="R58" s="74"/>
      <c r="S58" s="74"/>
      <c r="T58" s="74"/>
      <c r="U58" s="74"/>
      <c r="V58" s="74"/>
      <c r="W58" s="74"/>
      <c r="X58" s="82"/>
      <c r="Y58" s="82"/>
      <c r="Z58" s="82"/>
      <c r="AA58" s="109"/>
      <c r="AB58" s="82"/>
      <c r="AC58" s="109"/>
      <c r="AD58" s="82"/>
      <c r="AE58" s="55"/>
    </row>
    <row r="59" spans="2:31" s="1" customFormat="1" ht="20.100000000000001" customHeight="1" outlineLevel="1" x14ac:dyDescent="0.25">
      <c r="B59" s="24"/>
      <c r="C59" s="25"/>
      <c r="D59" s="25"/>
      <c r="E59" s="25"/>
      <c r="F59" s="25"/>
      <c r="G59" s="25"/>
      <c r="H59" s="25"/>
      <c r="I59" s="25"/>
      <c r="J59" s="25"/>
      <c r="K59" s="38"/>
      <c r="L59" s="25"/>
      <c r="M59" s="38"/>
      <c r="N59" s="26"/>
      <c r="P59" s="54"/>
      <c r="Q59" s="107" t="s">
        <v>163</v>
      </c>
      <c r="R59" s="74"/>
      <c r="S59" s="74"/>
      <c r="T59" s="74"/>
      <c r="U59" s="74"/>
      <c r="V59" s="74"/>
      <c r="W59" s="74"/>
      <c r="X59" s="82"/>
      <c r="Y59" s="82"/>
      <c r="Z59" s="82"/>
      <c r="AA59" s="109"/>
      <c r="AB59" s="82"/>
      <c r="AC59" s="109"/>
      <c r="AD59" s="82"/>
      <c r="AE59" s="55"/>
    </row>
    <row r="60" spans="2:31" s="1" customFormat="1" ht="20.100000000000001" customHeight="1" outlineLevel="1" x14ac:dyDescent="0.25">
      <c r="B60" s="24"/>
      <c r="C60" s="25"/>
      <c r="D60" s="25"/>
      <c r="E60" s="25"/>
      <c r="F60" s="25"/>
      <c r="G60" s="25"/>
      <c r="H60" s="25"/>
      <c r="I60" s="25"/>
      <c r="J60" s="25"/>
      <c r="K60" s="38"/>
      <c r="L60" s="25"/>
      <c r="M60" s="38"/>
      <c r="N60" s="26"/>
      <c r="P60" s="54"/>
      <c r="Q60" s="108" t="s">
        <v>162</v>
      </c>
      <c r="R60" s="74"/>
      <c r="S60" s="74"/>
      <c r="T60" s="74"/>
      <c r="U60" s="74"/>
      <c r="V60" s="74"/>
      <c r="W60" s="74"/>
      <c r="X60" s="82"/>
      <c r="Y60" s="82"/>
      <c r="Z60" s="82"/>
      <c r="AA60" s="109"/>
      <c r="AB60" s="82"/>
      <c r="AC60" s="109"/>
      <c r="AD60" s="82"/>
      <c r="AE60" s="55"/>
    </row>
    <row r="61" spans="2:31" s="1" customFormat="1" ht="20.100000000000001" customHeight="1" outlineLevel="1" x14ac:dyDescent="0.25">
      <c r="B61" s="24"/>
      <c r="C61" s="25"/>
      <c r="D61" s="25"/>
      <c r="E61" s="25"/>
      <c r="F61" s="25"/>
      <c r="G61" s="25"/>
      <c r="H61" s="25"/>
      <c r="I61" s="25"/>
      <c r="J61" s="25"/>
      <c r="K61" s="38"/>
      <c r="L61" s="25"/>
      <c r="M61" s="38"/>
      <c r="N61" s="26"/>
      <c r="P61" s="54"/>
      <c r="Q61" s="79" t="s">
        <v>154</v>
      </c>
      <c r="R61" s="74"/>
      <c r="S61" s="74"/>
      <c r="T61" s="74"/>
      <c r="U61" s="74"/>
      <c r="V61" s="74"/>
      <c r="W61" s="74"/>
      <c r="X61" s="82"/>
      <c r="Y61" s="82"/>
      <c r="Z61" s="82"/>
      <c r="AA61" s="109"/>
      <c r="AB61" s="82"/>
      <c r="AC61" s="109"/>
      <c r="AD61" s="82"/>
      <c r="AE61" s="55"/>
    </row>
    <row r="62" spans="2:31" s="1" customFormat="1" ht="20.100000000000001" customHeight="1" outlineLevel="1" x14ac:dyDescent="0.25">
      <c r="B62" s="24"/>
      <c r="C62" s="25"/>
      <c r="D62" s="25"/>
      <c r="E62" s="25"/>
      <c r="F62" s="25"/>
      <c r="G62" s="25"/>
      <c r="H62" s="25"/>
      <c r="I62" s="25"/>
      <c r="J62" s="25"/>
      <c r="K62" s="38"/>
      <c r="L62" s="25"/>
      <c r="M62" s="38"/>
      <c r="N62" s="26"/>
      <c r="P62" s="54"/>
      <c r="Q62" s="106" t="s">
        <v>164</v>
      </c>
      <c r="R62" s="74"/>
      <c r="S62" s="74"/>
      <c r="T62" s="74"/>
      <c r="U62" s="74"/>
      <c r="V62" s="74"/>
      <c r="W62" s="74"/>
      <c r="X62" s="82"/>
      <c r="Y62" s="82"/>
      <c r="Z62" s="82"/>
      <c r="AA62" s="109"/>
      <c r="AB62" s="82"/>
      <c r="AC62" s="109"/>
      <c r="AD62" s="82"/>
      <c r="AE62" s="55"/>
    </row>
    <row r="63" spans="2:31" s="1" customFormat="1" ht="20.100000000000001" customHeight="1" outlineLevel="1" x14ac:dyDescent="0.25">
      <c r="B63" s="24"/>
      <c r="C63" s="25"/>
      <c r="D63" s="25"/>
      <c r="E63" s="25"/>
      <c r="F63" s="25"/>
      <c r="G63" s="25"/>
      <c r="H63" s="25"/>
      <c r="I63" s="25"/>
      <c r="J63" s="25"/>
      <c r="K63" s="38"/>
      <c r="L63" s="25"/>
      <c r="M63" s="38"/>
      <c r="N63" s="26"/>
      <c r="P63" s="54"/>
      <c r="Q63" s="79" t="s">
        <v>155</v>
      </c>
      <c r="R63" s="74"/>
      <c r="S63" s="74"/>
      <c r="T63" s="74"/>
      <c r="U63" s="74"/>
      <c r="V63" s="74"/>
      <c r="W63" s="74"/>
      <c r="X63" s="82"/>
      <c r="Y63" s="82"/>
      <c r="Z63" s="82"/>
      <c r="AA63" s="109"/>
      <c r="AB63" s="82"/>
      <c r="AC63" s="109"/>
      <c r="AD63" s="82"/>
      <c r="AE63" s="55"/>
    </row>
    <row r="64" spans="2:31" s="1" customFormat="1" outlineLevel="1" x14ac:dyDescent="0.25">
      <c r="B64" s="73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1"/>
      <c r="P64" s="58"/>
      <c r="Q64" s="59"/>
      <c r="R64" s="59"/>
      <c r="S64" s="59"/>
      <c r="T64" s="59"/>
      <c r="U64" s="59"/>
      <c r="V64" s="59"/>
      <c r="W64" s="59"/>
      <c r="X64" s="59"/>
      <c r="Y64" s="59"/>
      <c r="Z64" s="59"/>
      <c r="AA64" s="59"/>
      <c r="AB64" s="59"/>
      <c r="AC64" s="59"/>
      <c r="AD64" s="59"/>
      <c r="AE64" s="57"/>
    </row>
    <row r="65" spans="2:2" x14ac:dyDescent="0.25">
      <c r="B65" s="2"/>
    </row>
  </sheetData>
  <dataConsolidate/>
  <customSheetViews>
    <customSheetView guid="{2E70E708-B73C-4323-9253-4875EF82DB2B}" scale="90" showGridLines="0" hiddenRows="1">
      <pane ySplit="2" topLeftCell="A3" activePane="bottomLeft" state="frozen"/>
      <selection pane="bottomLeft" activeCell="R12" sqref="R12"/>
    </customSheetView>
  </customSheetViews>
  <mergeCells count="42">
    <mergeCell ref="Q31:U31"/>
    <mergeCell ref="J38:K38"/>
    <mergeCell ref="X57:AD57"/>
    <mergeCell ref="C40:L40"/>
    <mergeCell ref="C42:L42"/>
    <mergeCell ref="D47:E47"/>
    <mergeCell ref="D48:E48"/>
    <mergeCell ref="X55:AD55"/>
    <mergeCell ref="D46:E46"/>
    <mergeCell ref="G31:H31"/>
    <mergeCell ref="G32:H32"/>
    <mergeCell ref="G38:H38"/>
    <mergeCell ref="Q8:AD8"/>
    <mergeCell ref="Q29:U30"/>
    <mergeCell ref="K8:L8"/>
    <mergeCell ref="C10:L10"/>
    <mergeCell ref="J12:L12"/>
    <mergeCell ref="H15:H16"/>
    <mergeCell ref="Q24:S26"/>
    <mergeCell ref="H19:H20"/>
    <mergeCell ref="I19:I20"/>
    <mergeCell ref="I17:I18"/>
    <mergeCell ref="I15:I16"/>
    <mergeCell ref="F8:G8"/>
    <mergeCell ref="C12:F12"/>
    <mergeCell ref="H17:H18"/>
    <mergeCell ref="C2:N2"/>
    <mergeCell ref="H49:L49"/>
    <mergeCell ref="H45:L45"/>
    <mergeCell ref="H46:L46"/>
    <mergeCell ref="H47:L47"/>
    <mergeCell ref="H48:L48"/>
    <mergeCell ref="D49:E49"/>
    <mergeCell ref="F45:G45"/>
    <mergeCell ref="F46:G46"/>
    <mergeCell ref="F47:G47"/>
    <mergeCell ref="F48:G48"/>
    <mergeCell ref="F49:G49"/>
    <mergeCell ref="D45:E45"/>
    <mergeCell ref="C31:D31"/>
    <mergeCell ref="J31:K31"/>
    <mergeCell ref="C38:E38"/>
  </mergeCells>
  <conditionalFormatting sqref="O10:P10">
    <cfRule type="iconSet" priority="1">
      <iconSet>
        <cfvo type="percent" val="0"/>
        <cfvo type="percent" val="33"/>
        <cfvo type="percent" val="67"/>
      </iconSet>
    </cfRule>
  </conditionalFormatting>
  <dataValidations count="6">
    <dataValidation type="textLength" operator="equal" allowBlank="1" showInputMessage="1" showErrorMessage="1" error="Plant code consists of 2 digits" sqref="G24">
      <formula1>2</formula1>
    </dataValidation>
    <dataValidation type="textLength" operator="equal" allowBlank="1" showInputMessage="1" showErrorMessage="1" error="The IPS-L Destination consists of 8 digits" sqref="C24">
      <formula1>8</formula1>
    </dataValidation>
    <dataValidation type="textLength" operator="equal" allowBlank="1" showInputMessage="1" showErrorMessage="1" error="The PLC AKZ consists of 8 digits" sqref="H12">
      <formula1>8</formula1>
    </dataValidation>
    <dataValidation type="whole" allowBlank="1" showErrorMessage="1" errorTitle="Max. amount of blocks exceeded" error="The max. amount of blocks for _ATTVAR_ telegram is limited to 20." sqref="H15:H16">
      <formula1>0</formula1>
      <formula2>20</formula2>
    </dataValidation>
    <dataValidation type="whole" allowBlank="1" showInputMessage="1" showErrorMessage="1" errorTitle="Max. amount of blocks exceeded" error="The max. amount of blocks for TEILCODE telegram is limited to 20." sqref="H17:H18">
      <formula1>0</formula1>
      <formula2>20</formula2>
    </dataValidation>
    <dataValidation type="whole" allowBlank="1" showInputMessage="1" showErrorMessage="1" errorTitle="Max. amount of blocks exceeded" error="The max. amount of blocks for TEILCO2D telegram is limited to 20." sqref="H19:H20">
      <formula1>0</formula1>
      <formula2>20</formula2>
    </dataValidation>
  </dataValidations>
  <pageMargins left="0.11811023622047245" right="0.11811023622047245" top="0.19685039370078741" bottom="0.19685039370078741" header="0.31496062992125984" footer="0.31496062992125984"/>
  <pageSetup paperSize="9" scale="77" orientation="portrait" r:id="rId1"/>
  <headerFooter>
    <oddFooter>&amp;L&amp;F&amp;CSeite &amp;P von &amp;N&amp;R&amp;A</oddFooter>
  </headerFooter>
  <rowBreaks count="1" manualBreakCount="1">
    <brk id="51" max="15" man="1"/>
  </rowBreaks>
  <drawing r:id="rId2"/>
  <legacyDrawing r:id="rId3"/>
  <controls>
    <mc:AlternateContent xmlns:mc="http://schemas.openxmlformats.org/markup-compatibility/2006">
      <mc:Choice Requires="x14">
        <control shapeId="11300" r:id="rId4" name="create_TEILCO2D">
          <controlPr autoLine="0" r:id="rId5">
            <anchor moveWithCells="1">
              <from>
                <xdr:col>9</xdr:col>
                <xdr:colOff>45720</xdr:colOff>
                <xdr:row>18</xdr:row>
                <xdr:rowOff>7620</xdr:rowOff>
              </from>
              <to>
                <xdr:col>12</xdr:col>
                <xdr:colOff>624840</xdr:colOff>
                <xdr:row>20</xdr:row>
                <xdr:rowOff>15240</xdr:rowOff>
              </to>
            </anchor>
          </controlPr>
        </control>
      </mc:Choice>
      <mc:Fallback>
        <control shapeId="11300" r:id="rId4" name="create_TEILCO2D"/>
      </mc:Fallback>
    </mc:AlternateContent>
    <mc:AlternateContent xmlns:mc="http://schemas.openxmlformats.org/markup-compatibility/2006">
      <mc:Choice Requires="x14">
        <control shapeId="11292" r:id="rId6" name="CP_Communication">
          <controlPr defaultSize="0" autoLine="0" r:id="rId7">
            <anchor moveWithCells="1">
              <from>
                <xdr:col>3</xdr:col>
                <xdr:colOff>266700</xdr:colOff>
                <xdr:row>27</xdr:row>
                <xdr:rowOff>190500</xdr:rowOff>
              </from>
              <to>
                <xdr:col>6</xdr:col>
                <xdr:colOff>144780</xdr:colOff>
                <xdr:row>29</xdr:row>
                <xdr:rowOff>53340</xdr:rowOff>
              </to>
            </anchor>
          </controlPr>
        </control>
      </mc:Choice>
      <mc:Fallback>
        <control shapeId="11292" r:id="rId6" name="CP_Communication"/>
      </mc:Fallback>
    </mc:AlternateContent>
    <mc:AlternateContent xmlns:mc="http://schemas.openxmlformats.org/markup-compatibility/2006">
      <mc:Choice Requires="x14">
        <control shapeId="11274" r:id="rId8" name="TEILCODE">
          <controlPr defaultSize="0" autoLine="0" r:id="rId9">
            <anchor moveWithCells="1">
              <from>
                <xdr:col>7</xdr:col>
                <xdr:colOff>220980</xdr:colOff>
                <xdr:row>53</xdr:row>
                <xdr:rowOff>76200</xdr:rowOff>
              </from>
              <to>
                <xdr:col>10</xdr:col>
                <xdr:colOff>457200</xdr:colOff>
                <xdr:row>54</xdr:row>
                <xdr:rowOff>76200</xdr:rowOff>
              </to>
            </anchor>
          </controlPr>
        </control>
      </mc:Choice>
      <mc:Fallback>
        <control shapeId="11274" r:id="rId8" name="TEILCODE"/>
      </mc:Fallback>
    </mc:AlternateContent>
    <mc:AlternateContent xmlns:mc="http://schemas.openxmlformats.org/markup-compatibility/2006">
      <mc:Choice Requires="x14">
        <control shapeId="11273" r:id="rId10" name="ATTVAR">
          <controlPr defaultSize="0" autoLine="0" r:id="rId11">
            <anchor moveWithCells="1">
              <from>
                <xdr:col>1</xdr:col>
                <xdr:colOff>640080</xdr:colOff>
                <xdr:row>53</xdr:row>
                <xdr:rowOff>60960</xdr:rowOff>
              </from>
              <to>
                <xdr:col>5</xdr:col>
                <xdr:colOff>129540</xdr:colOff>
                <xdr:row>54</xdr:row>
                <xdr:rowOff>76200</xdr:rowOff>
              </to>
            </anchor>
          </controlPr>
        </control>
      </mc:Choice>
      <mc:Fallback>
        <control shapeId="11273" r:id="rId10" name="ATTVAR"/>
      </mc:Fallback>
    </mc:AlternateContent>
    <mc:AlternateContent xmlns:mc="http://schemas.openxmlformats.org/markup-compatibility/2006">
      <mc:Choice Requires="x14">
        <control shapeId="11294" r:id="rId12" name="LIFE">
          <controlPr defaultSize="0" autoLine="0" r:id="rId13">
            <anchor moveWithCells="1">
              <from>
                <xdr:col>1</xdr:col>
                <xdr:colOff>678180</xdr:colOff>
                <xdr:row>58</xdr:row>
                <xdr:rowOff>114300</xdr:rowOff>
              </from>
              <to>
                <xdr:col>5</xdr:col>
                <xdr:colOff>167640</xdr:colOff>
                <xdr:row>59</xdr:row>
                <xdr:rowOff>129540</xdr:rowOff>
              </to>
            </anchor>
          </controlPr>
        </control>
      </mc:Choice>
      <mc:Fallback>
        <control shapeId="11294" r:id="rId12" name="LIFE"/>
      </mc:Fallback>
    </mc:AlternateContent>
    <mc:AlternateContent xmlns:mc="http://schemas.openxmlformats.org/markup-compatibility/2006">
      <mc:Choice Requires="x14">
        <control shapeId="11296" r:id="rId14" name="create_ATTVAR_">
          <controlPr autoLine="0" r:id="rId15">
            <anchor moveWithCells="1">
              <from>
                <xdr:col>9</xdr:col>
                <xdr:colOff>45720</xdr:colOff>
                <xdr:row>14</xdr:row>
                <xdr:rowOff>0</xdr:rowOff>
              </from>
              <to>
                <xdr:col>12</xdr:col>
                <xdr:colOff>624840</xdr:colOff>
                <xdr:row>16</xdr:row>
                <xdr:rowOff>15240</xdr:rowOff>
              </to>
            </anchor>
          </controlPr>
        </control>
      </mc:Choice>
      <mc:Fallback>
        <control shapeId="11296" r:id="rId14" name="create_ATTVAR_"/>
      </mc:Fallback>
    </mc:AlternateContent>
    <mc:AlternateContent xmlns:mc="http://schemas.openxmlformats.org/markup-compatibility/2006">
      <mc:Choice Requires="x14">
        <control shapeId="11297" r:id="rId16" name="create_TEILCODE">
          <controlPr autoLine="0" r:id="rId17">
            <anchor moveWithCells="1">
              <from>
                <xdr:col>9</xdr:col>
                <xdr:colOff>45720</xdr:colOff>
                <xdr:row>16</xdr:row>
                <xdr:rowOff>7620</xdr:rowOff>
              </from>
              <to>
                <xdr:col>12</xdr:col>
                <xdr:colOff>624840</xdr:colOff>
                <xdr:row>18</xdr:row>
                <xdr:rowOff>15240</xdr:rowOff>
              </to>
            </anchor>
          </controlPr>
        </control>
      </mc:Choice>
      <mc:Fallback>
        <control shapeId="11297" r:id="rId16" name="create_TEILCODE"/>
      </mc:Fallback>
    </mc:AlternateContent>
    <mc:AlternateContent xmlns:mc="http://schemas.openxmlformats.org/markup-compatibility/2006">
      <mc:Choice Requires="x14">
        <control shapeId="11298" r:id="rId18" name="TEILCO2D">
          <controlPr defaultSize="0" autoLine="0" r:id="rId19">
            <anchor moveWithCells="1">
              <from>
                <xdr:col>7</xdr:col>
                <xdr:colOff>228600</xdr:colOff>
                <xdr:row>58</xdr:row>
                <xdr:rowOff>121920</xdr:rowOff>
              </from>
              <to>
                <xdr:col>10</xdr:col>
                <xdr:colOff>464820</xdr:colOff>
                <xdr:row>59</xdr:row>
                <xdr:rowOff>121920</xdr:rowOff>
              </to>
            </anchor>
          </controlPr>
        </control>
      </mc:Choice>
      <mc:Fallback>
        <control shapeId="11298" r:id="rId18" name="TEILCO2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>
    <tabColor rgb="FFFFFF00"/>
  </sheetPr>
  <dimension ref="A1:O39"/>
  <sheetViews>
    <sheetView showGridLines="0" zoomScale="85" zoomScaleNormal="85" workbookViewId="0">
      <pane ySplit="4" topLeftCell="A5" activePane="bottomLeft" state="frozen"/>
      <selection activeCell="I19" sqref="I19"/>
      <selection pane="bottomLeft" activeCell="I19" sqref="I19"/>
    </sheetView>
  </sheetViews>
  <sheetFormatPr baseColWidth="10" defaultColWidth="11.44140625" defaultRowHeight="13.2" outlineLevelRow="1" x14ac:dyDescent="0.25"/>
  <cols>
    <col min="1" max="1" width="4.109375" customWidth="1"/>
  </cols>
  <sheetData>
    <row r="1" spans="1:15" s="1" customFormat="1" ht="9" customHeight="1" x14ac:dyDescent="0.25"/>
    <row r="2" spans="1:15" s="1" customFormat="1" ht="41.25" customHeight="1" x14ac:dyDescent="0.25">
      <c r="C2" s="153" t="s">
        <v>88</v>
      </c>
      <c r="D2" s="153"/>
      <c r="E2" s="153"/>
      <c r="F2" s="153"/>
      <c r="G2" s="153"/>
      <c r="H2" s="153"/>
      <c r="I2" s="153"/>
      <c r="J2" s="153"/>
      <c r="K2" s="153"/>
      <c r="L2" s="61"/>
      <c r="M2" s="61"/>
      <c r="N2" s="61"/>
      <c r="O2" s="61"/>
    </row>
    <row r="3" spans="1:15" s="1" customFormat="1" ht="24" customHeight="1" x14ac:dyDescent="0.25"/>
    <row r="4" spans="1:15" ht="3" customHeight="1" x14ac:dyDescent="0.25">
      <c r="A4" s="6"/>
      <c r="B4" s="5"/>
      <c r="C4" s="18"/>
      <c r="D4" s="18"/>
      <c r="E4" s="5"/>
      <c r="F4" s="5"/>
      <c r="G4" s="5"/>
      <c r="H4" s="5"/>
      <c r="I4" s="5"/>
      <c r="J4" s="5"/>
      <c r="K4" s="5"/>
    </row>
    <row r="5" spans="1:15" s="4" customFormat="1" x14ac:dyDescent="0.25">
      <c r="A5" s="8"/>
      <c r="C5" s="19"/>
      <c r="D5" s="19"/>
    </row>
    <row r="6" spans="1:15" ht="15.6" x14ac:dyDescent="0.3">
      <c r="A6" s="1"/>
      <c r="B6" s="12"/>
      <c r="C6" s="3"/>
      <c r="D6" s="17"/>
      <c r="E6" s="1"/>
      <c r="F6" s="1"/>
      <c r="G6" s="1"/>
      <c r="H6" s="1"/>
    </row>
    <row r="7" spans="1:15" s="1" customFormat="1" outlineLevel="1" x14ac:dyDescent="0.25">
      <c r="B7" s="21"/>
      <c r="C7" s="34"/>
      <c r="D7" s="34"/>
      <c r="E7" s="22"/>
      <c r="F7" s="22"/>
      <c r="G7" s="22"/>
      <c r="H7" s="22"/>
      <c r="I7" s="22"/>
      <c r="J7" s="22"/>
      <c r="K7" s="23"/>
    </row>
    <row r="8" spans="1:15" s="1" customFormat="1" ht="30" customHeight="1" outlineLevel="1" x14ac:dyDescent="0.25">
      <c r="B8" s="24"/>
      <c r="C8" s="40"/>
      <c r="D8" s="35"/>
      <c r="E8" s="191"/>
      <c r="F8" s="190"/>
      <c r="G8" s="25"/>
      <c r="H8" s="11"/>
      <c r="I8" s="25"/>
      <c r="J8" s="16"/>
      <c r="K8" s="26"/>
    </row>
    <row r="9" spans="1:15" outlineLevel="1" x14ac:dyDescent="0.25">
      <c r="A9" s="1"/>
      <c r="B9" s="24"/>
      <c r="C9" s="28" t="s">
        <v>12</v>
      </c>
      <c r="D9" s="35"/>
      <c r="E9" s="7" t="s">
        <v>71</v>
      </c>
      <c r="F9" s="25"/>
      <c r="G9" s="25"/>
      <c r="H9" s="7" t="s">
        <v>31</v>
      </c>
      <c r="I9" s="25"/>
      <c r="J9" s="7" t="s">
        <v>14</v>
      </c>
      <c r="K9" s="26"/>
    </row>
    <row r="10" spans="1:15" s="1" customFormat="1" outlineLevel="1" x14ac:dyDescent="0.25">
      <c r="B10" s="24"/>
      <c r="C10" s="28"/>
      <c r="D10" s="35"/>
      <c r="E10" s="7"/>
      <c r="F10" s="25"/>
      <c r="G10" s="25"/>
      <c r="H10" s="7"/>
      <c r="I10" s="25"/>
      <c r="J10" s="7"/>
      <c r="K10" s="26"/>
    </row>
    <row r="11" spans="1:15" s="1" customFormat="1" outlineLevel="1" x14ac:dyDescent="0.25">
      <c r="B11" s="24"/>
      <c r="C11" s="27" t="s">
        <v>38</v>
      </c>
      <c r="D11" s="35"/>
      <c r="E11" s="7"/>
      <c r="F11" s="25"/>
      <c r="G11" s="25"/>
      <c r="H11" s="25"/>
      <c r="I11" s="7"/>
      <c r="J11" s="25"/>
      <c r="K11" s="26"/>
    </row>
    <row r="12" spans="1:15" ht="30" customHeight="1" outlineLevel="1" x14ac:dyDescent="0.25">
      <c r="A12" s="1"/>
      <c r="B12" s="24"/>
      <c r="C12" s="188"/>
      <c r="D12" s="190"/>
      <c r="E12" s="25"/>
      <c r="F12" s="191"/>
      <c r="G12" s="190"/>
      <c r="H12" s="25"/>
      <c r="I12" s="35"/>
      <c r="J12" s="35"/>
      <c r="K12" s="26"/>
    </row>
    <row r="13" spans="1:15" s="1" customFormat="1" outlineLevel="1" x14ac:dyDescent="0.25">
      <c r="B13" s="24"/>
      <c r="C13" s="7" t="s">
        <v>22</v>
      </c>
      <c r="D13" s="25"/>
      <c r="E13" s="25"/>
      <c r="F13" s="7" t="s">
        <v>29</v>
      </c>
      <c r="G13" s="25"/>
      <c r="H13" s="25"/>
      <c r="I13" s="35"/>
      <c r="J13" s="35"/>
      <c r="K13" s="26"/>
    </row>
    <row r="14" spans="1:15" s="1" customFormat="1" outlineLevel="1" x14ac:dyDescent="0.25">
      <c r="B14" s="24"/>
      <c r="C14" s="7"/>
      <c r="D14" s="25"/>
      <c r="E14" s="25"/>
      <c r="F14" s="7"/>
      <c r="G14" s="25"/>
      <c r="H14" s="25"/>
      <c r="I14" s="35"/>
      <c r="J14" s="35"/>
      <c r="K14" s="26"/>
    </row>
    <row r="15" spans="1:15" s="1" customFormat="1" ht="30" customHeight="1" outlineLevel="1" x14ac:dyDescent="0.25">
      <c r="B15" s="24"/>
      <c r="C15" s="188"/>
      <c r="D15" s="190"/>
      <c r="E15" s="25"/>
      <c r="F15" s="191"/>
      <c r="G15" s="190"/>
      <c r="H15" s="25"/>
      <c r="I15" s="35"/>
      <c r="J15" s="35"/>
      <c r="K15" s="26"/>
    </row>
    <row r="16" spans="1:15" outlineLevel="1" x14ac:dyDescent="0.25">
      <c r="A16" s="1"/>
      <c r="B16" s="24"/>
      <c r="C16" s="7" t="s">
        <v>36</v>
      </c>
      <c r="D16" s="25"/>
      <c r="E16" s="25"/>
      <c r="F16" s="7" t="s">
        <v>37</v>
      </c>
      <c r="G16" s="25"/>
      <c r="H16" s="25"/>
      <c r="I16" s="7"/>
      <c r="J16" s="25"/>
      <c r="K16" s="26"/>
    </row>
    <row r="17" spans="1:11" s="1" customFormat="1" outlineLevel="1" x14ac:dyDescent="0.25">
      <c r="B17" s="24"/>
      <c r="C17" s="7"/>
      <c r="D17" s="25"/>
      <c r="E17" s="25"/>
      <c r="F17" s="7"/>
      <c r="G17" s="25"/>
      <c r="H17" s="25"/>
      <c r="I17" s="7"/>
      <c r="J17" s="25"/>
      <c r="K17" s="26"/>
    </row>
    <row r="18" spans="1:11" ht="30" customHeight="1" outlineLevel="1" x14ac:dyDescent="0.25">
      <c r="A18" s="1"/>
      <c r="B18" s="24"/>
      <c r="C18" s="191"/>
      <c r="D18" s="192"/>
      <c r="E18" s="25"/>
      <c r="F18" s="188"/>
      <c r="G18" s="190"/>
      <c r="H18" s="25"/>
      <c r="I18" s="25"/>
      <c r="J18" s="25"/>
      <c r="K18" s="26"/>
    </row>
    <row r="19" spans="1:11" outlineLevel="1" x14ac:dyDescent="0.25">
      <c r="A19" s="1"/>
      <c r="B19" s="24"/>
      <c r="C19" s="7" t="s">
        <v>24</v>
      </c>
      <c r="D19" s="25"/>
      <c r="E19" s="25"/>
      <c r="F19" s="7" t="s">
        <v>23</v>
      </c>
      <c r="G19" s="25"/>
      <c r="H19" s="25"/>
      <c r="I19" s="25"/>
      <c r="J19" s="25"/>
      <c r="K19" s="26"/>
    </row>
    <row r="20" spans="1:11" s="1" customFormat="1" outlineLevel="1" x14ac:dyDescent="0.25">
      <c r="B20" s="24"/>
      <c r="C20" s="7"/>
      <c r="D20" s="25"/>
      <c r="E20" s="25"/>
      <c r="F20" s="7"/>
      <c r="G20" s="25"/>
      <c r="H20" s="25"/>
      <c r="I20" s="25"/>
      <c r="J20" s="25"/>
      <c r="K20" s="26"/>
    </row>
    <row r="21" spans="1:11" ht="30" customHeight="1" outlineLevel="1" x14ac:dyDescent="0.25">
      <c r="A21" s="1"/>
      <c r="B21" s="24"/>
      <c r="C21" s="193"/>
      <c r="D21" s="190"/>
      <c r="E21" s="25"/>
      <c r="F21" s="188"/>
      <c r="G21" s="190"/>
      <c r="H21" s="25"/>
      <c r="I21" s="25"/>
      <c r="J21" s="25"/>
      <c r="K21" s="26"/>
    </row>
    <row r="22" spans="1:11" outlineLevel="1" x14ac:dyDescent="0.25">
      <c r="A22" s="1"/>
      <c r="B22" s="24"/>
      <c r="C22" s="7" t="s">
        <v>25</v>
      </c>
      <c r="D22" s="25"/>
      <c r="E22" s="25"/>
      <c r="F22" s="7" t="s">
        <v>26</v>
      </c>
      <c r="G22" s="25"/>
      <c r="H22" s="25"/>
      <c r="I22" s="25"/>
      <c r="J22" s="25"/>
      <c r="K22" s="26"/>
    </row>
    <row r="23" spans="1:11" s="1" customFormat="1" outlineLevel="1" x14ac:dyDescent="0.25">
      <c r="B23" s="24"/>
      <c r="C23" s="7"/>
      <c r="D23" s="25"/>
      <c r="E23" s="25"/>
      <c r="F23" s="7"/>
      <c r="G23" s="25"/>
      <c r="H23" s="25"/>
      <c r="I23" s="25"/>
      <c r="J23" s="25"/>
      <c r="K23" s="26"/>
    </row>
    <row r="24" spans="1:11" ht="30" customHeight="1" outlineLevel="1" x14ac:dyDescent="0.25">
      <c r="A24" s="1"/>
      <c r="B24" s="24"/>
      <c r="C24" s="188"/>
      <c r="D24" s="189"/>
      <c r="E24" s="190"/>
      <c r="F24" s="25"/>
      <c r="G24" s="25"/>
      <c r="H24" s="25"/>
      <c r="I24" s="188"/>
      <c r="J24" s="190"/>
      <c r="K24" s="26"/>
    </row>
    <row r="25" spans="1:11" outlineLevel="1" x14ac:dyDescent="0.25">
      <c r="A25" s="1"/>
      <c r="B25" s="24"/>
      <c r="C25" s="7" t="s">
        <v>27</v>
      </c>
      <c r="D25" s="25"/>
      <c r="E25" s="25"/>
      <c r="F25" s="25"/>
      <c r="G25" s="25"/>
      <c r="H25" s="25"/>
      <c r="I25" s="7" t="s">
        <v>28</v>
      </c>
      <c r="J25" s="25"/>
      <c r="K25" s="26"/>
    </row>
    <row r="26" spans="1:11" s="1" customFormat="1" outlineLevel="1" x14ac:dyDescent="0.25">
      <c r="B26" s="24"/>
      <c r="C26" s="7"/>
      <c r="D26" s="25"/>
      <c r="E26" s="25"/>
      <c r="F26" s="25"/>
      <c r="G26" s="25"/>
      <c r="H26" s="25"/>
      <c r="I26" s="7"/>
      <c r="J26" s="25"/>
      <c r="K26" s="26"/>
    </row>
    <row r="27" spans="1:11" ht="30" customHeight="1" outlineLevel="1" x14ac:dyDescent="0.25">
      <c r="A27" s="1"/>
      <c r="B27" s="24"/>
      <c r="C27" s="188"/>
      <c r="D27" s="189"/>
      <c r="E27" s="190"/>
      <c r="F27" s="25"/>
      <c r="G27" s="25"/>
      <c r="H27" s="25"/>
      <c r="I27" s="25"/>
      <c r="J27" s="25"/>
      <c r="K27" s="26"/>
    </row>
    <row r="28" spans="1:11" s="1" customFormat="1" outlineLevel="1" x14ac:dyDescent="0.25">
      <c r="B28" s="24"/>
      <c r="C28" s="7" t="s">
        <v>30</v>
      </c>
      <c r="D28" s="25"/>
      <c r="E28" s="25"/>
      <c r="F28" s="25"/>
      <c r="G28" s="25"/>
      <c r="H28" s="25"/>
      <c r="I28" s="25"/>
      <c r="J28" s="25"/>
      <c r="K28" s="26"/>
    </row>
    <row r="29" spans="1:11" s="1" customFormat="1" outlineLevel="1" x14ac:dyDescent="0.25">
      <c r="B29" s="24"/>
      <c r="C29" s="7"/>
      <c r="D29" s="25"/>
      <c r="E29" s="25"/>
      <c r="F29" s="25"/>
      <c r="G29" s="25"/>
      <c r="H29" s="25"/>
      <c r="I29" s="25"/>
      <c r="J29" s="25"/>
      <c r="K29" s="26"/>
    </row>
    <row r="30" spans="1:11" s="1" customFormat="1" outlineLevel="1" x14ac:dyDescent="0.25">
      <c r="B30" s="24"/>
      <c r="C30" s="27" t="s">
        <v>39</v>
      </c>
      <c r="D30" s="25"/>
      <c r="E30" s="25"/>
      <c r="F30" s="25"/>
      <c r="G30" s="25"/>
      <c r="H30" s="25"/>
      <c r="I30" s="25"/>
      <c r="J30" s="25"/>
      <c r="K30" s="26"/>
    </row>
    <row r="31" spans="1:11" s="1" customFormat="1" ht="160.5" customHeight="1" outlineLevel="1" x14ac:dyDescent="0.25">
      <c r="B31" s="24"/>
      <c r="C31" s="185"/>
      <c r="D31" s="186"/>
      <c r="E31" s="186"/>
      <c r="F31" s="186"/>
      <c r="G31" s="186"/>
      <c r="H31" s="186"/>
      <c r="I31" s="186"/>
      <c r="J31" s="187"/>
      <c r="K31" s="26"/>
    </row>
    <row r="32" spans="1:11" s="1" customFormat="1" outlineLevel="1" x14ac:dyDescent="0.25">
      <c r="B32" s="24"/>
      <c r="C32" s="7"/>
      <c r="D32" s="25"/>
      <c r="E32" s="25"/>
      <c r="F32" s="25"/>
      <c r="G32" s="25"/>
      <c r="H32" s="25"/>
      <c r="I32" s="25"/>
      <c r="J32" s="25"/>
      <c r="K32" s="26"/>
    </row>
    <row r="33" spans="2:11" outlineLevel="1" x14ac:dyDescent="0.25">
      <c r="B33" s="24"/>
      <c r="C33" s="25"/>
      <c r="D33" s="25"/>
      <c r="E33" s="25"/>
      <c r="F33" s="25"/>
      <c r="G33" s="25"/>
      <c r="H33" s="25"/>
      <c r="I33" s="25"/>
      <c r="J33" s="25"/>
      <c r="K33" s="26"/>
    </row>
    <row r="34" spans="2:11" outlineLevel="1" x14ac:dyDescent="0.25">
      <c r="B34" s="29"/>
      <c r="C34" s="30"/>
      <c r="D34" s="30"/>
      <c r="E34" s="30"/>
      <c r="F34" s="30"/>
      <c r="G34" s="30"/>
      <c r="H34" s="30"/>
      <c r="I34" s="30"/>
      <c r="J34" s="30"/>
      <c r="K34" s="33"/>
    </row>
    <row r="35" spans="2:11" s="9" customFormat="1" outlineLevel="1" x14ac:dyDescent="0.25">
      <c r="B35" s="36"/>
      <c r="C35" s="36"/>
      <c r="D35" s="36"/>
      <c r="E35" s="36"/>
      <c r="F35" s="36"/>
      <c r="G35" s="36"/>
      <c r="H35" s="36"/>
      <c r="I35" s="36"/>
      <c r="J35" s="36"/>
      <c r="K35" s="36"/>
    </row>
    <row r="36" spans="2:11" ht="15.6" x14ac:dyDescent="0.3">
      <c r="B36" s="12" t="s">
        <v>40</v>
      </c>
    </row>
    <row r="37" spans="2:11" x14ac:dyDescent="0.25">
      <c r="B37" s="36"/>
      <c r="C37" s="36"/>
      <c r="D37" s="36"/>
      <c r="E37" s="36"/>
      <c r="F37" s="36"/>
      <c r="G37" s="36"/>
      <c r="H37" s="36"/>
      <c r="I37" s="36"/>
      <c r="J37" s="36"/>
      <c r="K37" s="36"/>
    </row>
    <row r="38" spans="2:11" x14ac:dyDescent="0.25">
      <c r="B38" s="36"/>
      <c r="C38" s="36"/>
      <c r="D38" s="36"/>
      <c r="E38" s="36"/>
      <c r="F38" s="36"/>
      <c r="G38" s="36"/>
      <c r="H38" s="36"/>
      <c r="I38" s="36"/>
      <c r="J38" s="36"/>
      <c r="K38" s="36"/>
    </row>
    <row r="39" spans="2:11" x14ac:dyDescent="0.25">
      <c r="B39" s="36"/>
      <c r="C39" s="36"/>
      <c r="D39" s="36"/>
      <c r="E39" s="36"/>
      <c r="F39" s="36"/>
      <c r="G39" s="36"/>
      <c r="H39" s="36"/>
      <c r="I39" s="36"/>
      <c r="J39" s="36"/>
      <c r="K39" s="36"/>
    </row>
  </sheetData>
  <customSheetViews>
    <customSheetView guid="{2E70E708-B73C-4323-9253-4875EF82DB2B}">
      <selection activeCell="N11" sqref="N11"/>
    </customSheetView>
  </customSheetViews>
  <mergeCells count="14">
    <mergeCell ref="C2:K2"/>
    <mergeCell ref="C31:J31"/>
    <mergeCell ref="C27:E27"/>
    <mergeCell ref="E8:F8"/>
    <mergeCell ref="I24:J24"/>
    <mergeCell ref="C12:D12"/>
    <mergeCell ref="F12:G12"/>
    <mergeCell ref="C15:D15"/>
    <mergeCell ref="F18:G18"/>
    <mergeCell ref="C18:D18"/>
    <mergeCell ref="C21:D21"/>
    <mergeCell ref="F21:G21"/>
    <mergeCell ref="C24:E24"/>
    <mergeCell ref="F15:G15"/>
  </mergeCells>
  <pageMargins left="0.11811023622047245" right="0.11811023622047245" top="0.19685039370078741" bottom="0.19685039370078741" header="0.31496062992125984" footer="0.31496062992125984"/>
  <pageSetup paperSize="9" scale="77" orientation="portrait" r:id="rId1"/>
  <headerFooter>
    <oddFooter>&amp;L&amp;F&amp;CSeite &amp;P von &amp;N&amp;R&amp;A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B2:N32"/>
  <sheetViews>
    <sheetView showGridLines="0" tabSelected="1" topLeftCell="B1" zoomScale="90" zoomScaleNormal="90" workbookViewId="0">
      <selection activeCell="G25" sqref="G25"/>
    </sheetView>
  </sheetViews>
  <sheetFormatPr baseColWidth="10" defaultColWidth="11.44140625" defaultRowHeight="15" customHeight="1" x14ac:dyDescent="0.25"/>
  <cols>
    <col min="1" max="1" width="5.6640625" style="113" customWidth="1"/>
    <col min="2" max="3" width="15.6640625" style="113" customWidth="1"/>
    <col min="4" max="4" width="18.6640625" style="113" customWidth="1"/>
    <col min="5" max="5" width="22.44140625" style="113" bestFit="1" customWidth="1"/>
    <col min="6" max="6" width="15.6640625" style="114" customWidth="1"/>
    <col min="7" max="7" width="55.6640625" style="113" customWidth="1"/>
    <col min="8" max="8" width="5.109375" style="113" customWidth="1"/>
    <col min="9" max="9" width="11.5546875" style="113" customWidth="1"/>
    <col min="10" max="10" width="10.33203125" style="113" customWidth="1"/>
    <col min="11" max="11" width="15.44140625" style="113" customWidth="1"/>
    <col min="12" max="12" width="15.109375" style="113" customWidth="1"/>
    <col min="13" max="13" width="17.6640625" style="113" customWidth="1"/>
    <col min="14" max="14" width="50.44140625" style="113" customWidth="1"/>
    <col min="15" max="16384" width="11.44140625" style="113"/>
  </cols>
  <sheetData>
    <row r="2" spans="2:14" ht="15" customHeight="1" x14ac:dyDescent="0.25">
      <c r="B2" s="115" t="s">
        <v>110</v>
      </c>
      <c r="I2" s="115" t="s">
        <v>118</v>
      </c>
      <c r="M2" s="114"/>
    </row>
    <row r="3" spans="2:14" ht="15" customHeight="1" x14ac:dyDescent="0.25">
      <c r="M3" s="114"/>
    </row>
    <row r="4" spans="2:14" ht="15" customHeight="1" x14ac:dyDescent="0.25">
      <c r="B4" s="116" t="s">
        <v>3</v>
      </c>
      <c r="C4" s="116" t="s">
        <v>4</v>
      </c>
      <c r="D4" s="116" t="s">
        <v>5</v>
      </c>
      <c r="E4" s="116" t="s">
        <v>6</v>
      </c>
      <c r="F4" s="116" t="s">
        <v>113</v>
      </c>
      <c r="G4" s="116" t="s">
        <v>7</v>
      </c>
      <c r="I4" s="116" t="s">
        <v>3</v>
      </c>
      <c r="J4" s="116" t="s">
        <v>4</v>
      </c>
      <c r="K4" s="116" t="s">
        <v>5</v>
      </c>
      <c r="L4" s="116" t="s">
        <v>6</v>
      </c>
      <c r="M4" s="116" t="s">
        <v>113</v>
      </c>
      <c r="N4" s="116" t="s">
        <v>7</v>
      </c>
    </row>
    <row r="5" spans="2:14" ht="15" customHeight="1" x14ac:dyDescent="0.25">
      <c r="B5" s="96" t="s">
        <v>111</v>
      </c>
      <c r="C5" s="87">
        <v>8</v>
      </c>
      <c r="D5" s="87" t="s">
        <v>182</v>
      </c>
      <c r="E5" s="97" t="str">
        <f>Filled_by_requestor!G31</f>
        <v>TMOAKZ01</v>
      </c>
      <c r="F5" s="87" t="s">
        <v>10</v>
      </c>
      <c r="G5" s="87" t="s">
        <v>90</v>
      </c>
      <c r="I5" s="90" t="s">
        <v>111</v>
      </c>
      <c r="J5" s="90">
        <v>8</v>
      </c>
      <c r="K5" s="90" t="s">
        <v>182</v>
      </c>
      <c r="L5" s="91" t="str">
        <f>E6</f>
        <v>MONTIPSQ</v>
      </c>
      <c r="M5" s="90" t="s">
        <v>10</v>
      </c>
      <c r="N5" s="90" t="s">
        <v>114</v>
      </c>
    </row>
    <row r="6" spans="2:14" ht="15" customHeight="1" x14ac:dyDescent="0.25">
      <c r="B6" s="96" t="s">
        <v>112</v>
      </c>
      <c r="C6" s="87">
        <v>8</v>
      </c>
      <c r="D6" s="87" t="s">
        <v>183</v>
      </c>
      <c r="E6" s="97" t="str">
        <f>Filled_by_requestor!C24</f>
        <v>MONTIPSQ</v>
      </c>
      <c r="F6" s="87" t="s">
        <v>10</v>
      </c>
      <c r="G6" s="87" t="s">
        <v>91</v>
      </c>
      <c r="I6" s="90" t="s">
        <v>112</v>
      </c>
      <c r="J6" s="90">
        <v>8</v>
      </c>
      <c r="K6" s="90" t="s">
        <v>183</v>
      </c>
      <c r="L6" s="91" t="str">
        <f>E5</f>
        <v>TMOAKZ01</v>
      </c>
      <c r="M6" s="90" t="s">
        <v>10</v>
      </c>
      <c r="N6" s="90" t="s">
        <v>115</v>
      </c>
    </row>
    <row r="7" spans="2:14" ht="15" customHeight="1" x14ac:dyDescent="0.25">
      <c r="B7" s="96" t="s">
        <v>92</v>
      </c>
      <c r="C7" s="87">
        <v>8</v>
      </c>
      <c r="D7" s="87" t="s">
        <v>174</v>
      </c>
      <c r="E7" s="97" t="s">
        <v>93</v>
      </c>
      <c r="F7" s="87" t="s">
        <v>10</v>
      </c>
      <c r="G7" s="87" t="s">
        <v>8</v>
      </c>
      <c r="I7" s="90" t="s">
        <v>92</v>
      </c>
      <c r="J7" s="90">
        <v>8</v>
      </c>
      <c r="K7" s="90" t="s">
        <v>174</v>
      </c>
      <c r="L7" s="91" t="s">
        <v>93</v>
      </c>
      <c r="M7" s="90" t="s">
        <v>10</v>
      </c>
      <c r="N7" s="90" t="s">
        <v>116</v>
      </c>
    </row>
    <row r="8" spans="2:14" ht="15" customHeight="1" x14ac:dyDescent="0.25">
      <c r="B8" s="87" t="s">
        <v>94</v>
      </c>
      <c r="C8" s="87">
        <v>4</v>
      </c>
      <c r="D8" s="87" t="s">
        <v>175</v>
      </c>
      <c r="E8" s="97" t="s">
        <v>95</v>
      </c>
      <c r="F8" s="87" t="s">
        <v>10</v>
      </c>
      <c r="G8" s="87" t="s">
        <v>109</v>
      </c>
      <c r="I8" s="90" t="s">
        <v>94</v>
      </c>
      <c r="J8" s="90">
        <v>4</v>
      </c>
      <c r="K8" s="90" t="s">
        <v>175</v>
      </c>
      <c r="L8" s="92" t="s">
        <v>157</v>
      </c>
      <c r="M8" s="90" t="s">
        <v>9</v>
      </c>
      <c r="N8" s="90" t="s">
        <v>158</v>
      </c>
    </row>
    <row r="9" spans="2:14" ht="15" customHeight="1" x14ac:dyDescent="0.25">
      <c r="B9" s="88" t="s">
        <v>96</v>
      </c>
      <c r="C9" s="88">
        <v>14</v>
      </c>
      <c r="D9" s="88" t="s">
        <v>97</v>
      </c>
      <c r="E9" s="98" t="s">
        <v>98</v>
      </c>
      <c r="F9" s="88" t="s">
        <v>10</v>
      </c>
      <c r="G9" s="88" t="s">
        <v>193</v>
      </c>
      <c r="I9" s="93" t="s">
        <v>117</v>
      </c>
      <c r="J9" s="93">
        <v>4</v>
      </c>
      <c r="K9" s="93" t="s">
        <v>181</v>
      </c>
      <c r="L9" s="94" t="s">
        <v>2</v>
      </c>
      <c r="M9" s="95" t="s">
        <v>10</v>
      </c>
      <c r="N9" s="93" t="s">
        <v>2</v>
      </c>
    </row>
    <row r="10" spans="2:14" ht="15" customHeight="1" x14ac:dyDescent="0.25">
      <c r="B10" s="88" t="s">
        <v>99</v>
      </c>
      <c r="C10" s="88">
        <v>2</v>
      </c>
      <c r="D10" s="88" t="s">
        <v>176</v>
      </c>
      <c r="E10" s="98" t="s">
        <v>100</v>
      </c>
      <c r="F10" s="88" t="s">
        <v>10</v>
      </c>
      <c r="G10" s="88" t="s">
        <v>156</v>
      </c>
    </row>
    <row r="11" spans="2:14" ht="15" customHeight="1" x14ac:dyDescent="0.25">
      <c r="B11" s="88" t="s">
        <v>101</v>
      </c>
      <c r="C11" s="88">
        <v>2</v>
      </c>
      <c r="D11" s="88" t="s">
        <v>177</v>
      </c>
      <c r="E11" s="98" t="str">
        <f>Filled_by_requestor!J24</f>
        <v>FG</v>
      </c>
      <c r="F11" s="88" t="s">
        <v>10</v>
      </c>
      <c r="G11" s="88" t="s">
        <v>194</v>
      </c>
    </row>
    <row r="12" spans="2:14" ht="15" customHeight="1" x14ac:dyDescent="0.25">
      <c r="B12" s="88" t="s">
        <v>102</v>
      </c>
      <c r="C12" s="88">
        <v>8</v>
      </c>
      <c r="D12" s="88" t="s">
        <v>178</v>
      </c>
      <c r="E12" s="98">
        <v>1234567</v>
      </c>
      <c r="F12" s="88" t="s">
        <v>9</v>
      </c>
      <c r="G12" s="88" t="s">
        <v>103</v>
      </c>
    </row>
    <row r="13" spans="2:14" ht="15" customHeight="1" x14ac:dyDescent="0.25">
      <c r="B13" s="88" t="s">
        <v>104</v>
      </c>
      <c r="C13" s="88">
        <v>16</v>
      </c>
      <c r="D13" s="88" t="s">
        <v>179</v>
      </c>
      <c r="E13" s="98" t="s">
        <v>105</v>
      </c>
      <c r="F13" s="88" t="s">
        <v>10</v>
      </c>
      <c r="G13" s="88" t="s">
        <v>195</v>
      </c>
    </row>
    <row r="14" spans="2:14" ht="15" customHeight="1" x14ac:dyDescent="0.25">
      <c r="B14" s="89" t="s">
        <v>106</v>
      </c>
      <c r="C14" s="89">
        <v>2</v>
      </c>
      <c r="D14" s="89" t="s">
        <v>180</v>
      </c>
      <c r="E14" s="117" t="str">
        <f>IF(LEN(Filled_by_requestor!H15)&lt;2,"0"&amp;Filled_by_requestor!H15,Filled_by_requestor!H15)</f>
        <v>03</v>
      </c>
      <c r="F14" s="89" t="s">
        <v>9</v>
      </c>
      <c r="G14" s="89" t="s">
        <v>215</v>
      </c>
      <c r="I14" s="101" t="s">
        <v>209</v>
      </c>
    </row>
    <row r="15" spans="2:14" ht="15" customHeight="1" x14ac:dyDescent="0.25">
      <c r="B15" s="116" t="s">
        <v>141</v>
      </c>
      <c r="C15" s="116"/>
      <c r="D15" s="116"/>
      <c r="E15" s="116"/>
      <c r="F15" s="116"/>
      <c r="G15" s="116"/>
    </row>
    <row r="16" spans="2:14" ht="15" customHeight="1" x14ac:dyDescent="0.25">
      <c r="B16" s="103" t="s">
        <v>142</v>
      </c>
      <c r="C16" s="103">
        <v>2</v>
      </c>
      <c r="D16" s="103" t="s">
        <v>276</v>
      </c>
      <c r="E16" s="118" t="str">
        <f>"01"</f>
        <v>01</v>
      </c>
      <c r="F16" s="119" t="s">
        <v>9</v>
      </c>
      <c r="G16" s="103" t="s">
        <v>224</v>
      </c>
    </row>
    <row r="17" spans="2:7" ht="15" customHeight="1" x14ac:dyDescent="0.25">
      <c r="B17" s="103" t="s">
        <v>143</v>
      </c>
      <c r="C17" s="103">
        <v>4</v>
      </c>
      <c r="D17" s="103" t="s">
        <v>275</v>
      </c>
      <c r="E17" s="120" t="s">
        <v>108</v>
      </c>
      <c r="F17" s="119" t="s">
        <v>10</v>
      </c>
      <c r="G17" s="103" t="s">
        <v>225</v>
      </c>
    </row>
    <row r="18" spans="2:7" ht="15" customHeight="1" x14ac:dyDescent="0.25">
      <c r="B18" s="103" t="s">
        <v>144</v>
      </c>
      <c r="C18" s="103">
        <v>2</v>
      </c>
      <c r="D18" s="103" t="s">
        <v>274</v>
      </c>
      <c r="E18" s="120" t="str">
        <f>"01"</f>
        <v>01</v>
      </c>
      <c r="F18" s="119" t="s">
        <v>9</v>
      </c>
      <c r="G18" s="103" t="s">
        <v>226</v>
      </c>
    </row>
    <row r="19" spans="2:7" ht="15" customHeight="1" x14ac:dyDescent="0.25">
      <c r="B19" s="103" t="s">
        <v>145</v>
      </c>
      <c r="C19" s="103">
        <v>4</v>
      </c>
      <c r="D19" s="103" t="s">
        <v>273</v>
      </c>
      <c r="E19" s="120" t="s">
        <v>295</v>
      </c>
      <c r="F19" s="119" t="s">
        <v>10</v>
      </c>
      <c r="G19" s="103" t="s">
        <v>292</v>
      </c>
    </row>
    <row r="20" spans="2:7" s="150" customFormat="1" ht="26.4" x14ac:dyDescent="0.25">
      <c r="B20" s="147"/>
      <c r="C20" s="147" t="s">
        <v>277</v>
      </c>
      <c r="D20" s="147" t="s">
        <v>272</v>
      </c>
      <c r="E20" s="201" t="s">
        <v>296</v>
      </c>
      <c r="F20" s="149" t="s">
        <v>10</v>
      </c>
      <c r="G20" s="147" t="s">
        <v>297</v>
      </c>
    </row>
    <row r="21" spans="2:7" ht="15" customHeight="1" x14ac:dyDescent="0.25">
      <c r="B21" s="116" t="s">
        <v>208</v>
      </c>
      <c r="C21" s="116"/>
      <c r="D21" s="116"/>
      <c r="E21" s="116"/>
      <c r="F21" s="116"/>
      <c r="G21" s="116"/>
    </row>
    <row r="22" spans="2:7" ht="15" customHeight="1" x14ac:dyDescent="0.25">
      <c r="B22" s="147" t="s">
        <v>279</v>
      </c>
      <c r="C22" s="103">
        <v>2</v>
      </c>
      <c r="D22" s="103" t="s">
        <v>287</v>
      </c>
      <c r="E22" s="118" t="str">
        <f>"01"</f>
        <v>01</v>
      </c>
      <c r="F22" s="119" t="s">
        <v>9</v>
      </c>
      <c r="G22" s="103" t="s">
        <v>227</v>
      </c>
    </row>
    <row r="23" spans="2:7" ht="15" customHeight="1" x14ac:dyDescent="0.25">
      <c r="B23" s="147" t="s">
        <v>280</v>
      </c>
      <c r="C23" s="103">
        <v>4</v>
      </c>
      <c r="D23" s="103" t="s">
        <v>286</v>
      </c>
      <c r="E23" s="120" t="s">
        <v>108</v>
      </c>
      <c r="F23" s="119" t="s">
        <v>10</v>
      </c>
      <c r="G23" s="103" t="s">
        <v>228</v>
      </c>
    </row>
    <row r="24" spans="2:7" ht="15" customHeight="1" x14ac:dyDescent="0.25">
      <c r="B24" s="147" t="s">
        <v>281</v>
      </c>
      <c r="C24" s="103">
        <v>2</v>
      </c>
      <c r="D24" s="103" t="s">
        <v>284</v>
      </c>
      <c r="E24" s="120" t="str">
        <f>"01"</f>
        <v>01</v>
      </c>
      <c r="F24" s="119" t="s">
        <v>9</v>
      </c>
      <c r="G24" s="103" t="s">
        <v>229</v>
      </c>
    </row>
    <row r="25" spans="2:7" ht="15" customHeight="1" x14ac:dyDescent="0.25">
      <c r="B25" s="147" t="s">
        <v>282</v>
      </c>
      <c r="C25" s="103">
        <v>4</v>
      </c>
      <c r="D25" s="103" t="s">
        <v>285</v>
      </c>
      <c r="E25" s="120" t="s">
        <v>295</v>
      </c>
      <c r="F25" s="119" t="s">
        <v>10</v>
      </c>
      <c r="G25" s="103" t="s">
        <v>293</v>
      </c>
    </row>
    <row r="26" spans="2:7" s="150" customFormat="1" ht="26.4" x14ac:dyDescent="0.25">
      <c r="B26" s="147"/>
      <c r="C26" s="147" t="s">
        <v>277</v>
      </c>
      <c r="D26" s="147" t="s">
        <v>278</v>
      </c>
      <c r="E26" s="148"/>
      <c r="F26" s="149" t="s">
        <v>10</v>
      </c>
      <c r="G26" s="147" t="s">
        <v>298</v>
      </c>
    </row>
    <row r="27" spans="2:7" ht="15" customHeight="1" x14ac:dyDescent="0.25">
      <c r="B27" s="116" t="s">
        <v>283</v>
      </c>
      <c r="C27" s="116"/>
      <c r="D27" s="116"/>
      <c r="E27" s="116"/>
      <c r="F27" s="116"/>
      <c r="G27" s="151" t="s">
        <v>305</v>
      </c>
    </row>
    <row r="28" spans="2:7" ht="15" customHeight="1" x14ac:dyDescent="0.25">
      <c r="B28" s="103"/>
      <c r="C28" s="103">
        <v>2</v>
      </c>
      <c r="D28" s="147" t="s">
        <v>300</v>
      </c>
      <c r="E28" s="118" t="str">
        <f>"01"</f>
        <v>01</v>
      </c>
      <c r="F28" s="119" t="s">
        <v>9</v>
      </c>
      <c r="G28" s="103" t="s">
        <v>288</v>
      </c>
    </row>
    <row r="29" spans="2:7" ht="15" customHeight="1" x14ac:dyDescent="0.25">
      <c r="B29" s="103"/>
      <c r="C29" s="103">
        <v>4</v>
      </c>
      <c r="D29" s="147" t="s">
        <v>301</v>
      </c>
      <c r="E29" s="120" t="s">
        <v>108</v>
      </c>
      <c r="F29" s="119" t="s">
        <v>10</v>
      </c>
      <c r="G29" s="103" t="s">
        <v>289</v>
      </c>
    </row>
    <row r="30" spans="2:7" ht="15" customHeight="1" x14ac:dyDescent="0.25">
      <c r="B30" s="103"/>
      <c r="C30" s="103">
        <v>2</v>
      </c>
      <c r="D30" s="147" t="s">
        <v>302</v>
      </c>
      <c r="E30" s="120" t="str">
        <f>"01"</f>
        <v>01</v>
      </c>
      <c r="F30" s="119" t="s">
        <v>9</v>
      </c>
      <c r="G30" s="103" t="s">
        <v>290</v>
      </c>
    </row>
    <row r="31" spans="2:7" ht="15" customHeight="1" x14ac:dyDescent="0.25">
      <c r="B31" s="103"/>
      <c r="C31" s="103">
        <v>4</v>
      </c>
      <c r="D31" s="147" t="s">
        <v>303</v>
      </c>
      <c r="E31" s="120" t="s">
        <v>295</v>
      </c>
      <c r="F31" s="119" t="s">
        <v>10</v>
      </c>
      <c r="G31" s="103" t="s">
        <v>294</v>
      </c>
    </row>
    <row r="32" spans="2:7" s="150" customFormat="1" ht="26.4" x14ac:dyDescent="0.25">
      <c r="B32" s="147"/>
      <c r="C32" s="147" t="s">
        <v>277</v>
      </c>
      <c r="D32" s="147" t="s">
        <v>304</v>
      </c>
      <c r="E32" s="148"/>
      <c r="F32" s="149" t="s">
        <v>10</v>
      </c>
      <c r="G32" s="147" t="s">
        <v>299</v>
      </c>
    </row>
  </sheetData>
  <customSheetViews>
    <customSheetView guid="{2E70E708-B73C-4323-9253-4875EF82DB2B}" scale="80" showPageBreaks="1" topLeftCell="A7">
      <selection activeCell="G48" sqref="G48"/>
    </customSheetView>
  </customSheetViews>
  <phoneticPr fontId="6" type="noConversion"/>
  <pageMargins left="0.11811023622047245" right="0.11811023622047245" top="0.19685039370078741" bottom="0.19685039370078741" header="0.31496062992125984" footer="0.31496062992125984"/>
  <pageSetup paperSize="9" scale="77" orientation="portrait" r:id="rId1"/>
  <headerFooter>
    <oddFooter>&amp;L&amp;F&amp;CSeite &amp;P von &amp;N&amp;R&amp;A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2:N18"/>
  <sheetViews>
    <sheetView showGridLines="0" zoomScale="90" zoomScaleNormal="90" workbookViewId="0">
      <selection activeCell="B15" sqref="B15:G18"/>
    </sheetView>
  </sheetViews>
  <sheetFormatPr baseColWidth="10" defaultColWidth="11.44140625" defaultRowHeight="15" customHeight="1" x14ac:dyDescent="0.25"/>
  <cols>
    <col min="1" max="1" width="5.6640625" style="113" customWidth="1"/>
    <col min="2" max="3" width="15.6640625" style="113" customWidth="1"/>
    <col min="4" max="4" width="18.6640625" style="113" customWidth="1"/>
    <col min="5" max="5" width="20.6640625" style="113" customWidth="1"/>
    <col min="6" max="6" width="15.6640625" style="113" customWidth="1"/>
    <col min="7" max="7" width="55.6640625" style="113" customWidth="1"/>
    <col min="8" max="8" width="5.109375" style="113" customWidth="1"/>
    <col min="9" max="9" width="12.6640625" style="113" customWidth="1"/>
    <col min="10" max="10" width="9.109375" style="113" customWidth="1"/>
    <col min="11" max="11" width="15.33203125" style="113" customWidth="1"/>
    <col min="12" max="12" width="13.88671875" style="113" customWidth="1"/>
    <col min="13" max="13" width="18.44140625" style="113" customWidth="1"/>
    <col min="14" max="14" width="63.6640625" style="113" customWidth="1"/>
    <col min="15" max="17" width="46.109375" style="113" customWidth="1"/>
    <col min="18" max="16384" width="11.44140625" style="113"/>
  </cols>
  <sheetData>
    <row r="2" spans="2:14" ht="15" customHeight="1" x14ac:dyDescent="0.25">
      <c r="B2" s="115" t="s">
        <v>127</v>
      </c>
      <c r="I2" s="115" t="s">
        <v>140</v>
      </c>
      <c r="J2" s="123"/>
      <c r="K2" s="123"/>
      <c r="L2" s="123"/>
      <c r="M2" s="124"/>
      <c r="N2" s="123"/>
    </row>
    <row r="3" spans="2:14" ht="15" customHeight="1" x14ac:dyDescent="0.25">
      <c r="B3" s="115"/>
    </row>
    <row r="4" spans="2:14" ht="15" customHeight="1" x14ac:dyDescent="0.25">
      <c r="B4" s="116" t="s">
        <v>3</v>
      </c>
      <c r="C4" s="116" t="s">
        <v>4</v>
      </c>
      <c r="D4" s="116" t="s">
        <v>5</v>
      </c>
      <c r="E4" s="116" t="s">
        <v>6</v>
      </c>
      <c r="F4" s="116" t="s">
        <v>113</v>
      </c>
      <c r="G4" s="116" t="s">
        <v>7</v>
      </c>
      <c r="I4" s="116" t="s">
        <v>3</v>
      </c>
      <c r="J4" s="116" t="s">
        <v>4</v>
      </c>
      <c r="K4" s="116" t="s">
        <v>5</v>
      </c>
      <c r="L4" s="116" t="s">
        <v>6</v>
      </c>
      <c r="M4" s="116" t="s">
        <v>113</v>
      </c>
      <c r="N4" s="116" t="s">
        <v>7</v>
      </c>
    </row>
    <row r="5" spans="2:14" ht="15" customHeight="1" x14ac:dyDescent="0.25">
      <c r="B5" s="96" t="s">
        <v>111</v>
      </c>
      <c r="C5" s="87">
        <v>8</v>
      </c>
      <c r="D5" s="87" t="s">
        <v>182</v>
      </c>
      <c r="E5" s="97" t="str">
        <f>Filled_by_requestor!H12</f>
        <v>TMOAKZ01</v>
      </c>
      <c r="F5" s="87" t="s">
        <v>10</v>
      </c>
      <c r="G5" s="87" t="s">
        <v>90</v>
      </c>
      <c r="I5" s="90" t="s">
        <v>111</v>
      </c>
      <c r="J5" s="90">
        <v>8</v>
      </c>
      <c r="K5" s="90" t="s">
        <v>182</v>
      </c>
      <c r="L5" s="91" t="str">
        <f>E6</f>
        <v>MONTIPSQ</v>
      </c>
      <c r="M5" s="90" t="s">
        <v>10</v>
      </c>
      <c r="N5" s="90" t="s">
        <v>128</v>
      </c>
    </row>
    <row r="6" spans="2:14" ht="15" customHeight="1" x14ac:dyDescent="0.25">
      <c r="B6" s="96" t="s">
        <v>112</v>
      </c>
      <c r="C6" s="87">
        <v>8</v>
      </c>
      <c r="D6" s="87" t="s">
        <v>183</v>
      </c>
      <c r="E6" s="97" t="str">
        <f>Filled_by_requestor!C24</f>
        <v>MONTIPSQ</v>
      </c>
      <c r="F6" s="87" t="s">
        <v>10</v>
      </c>
      <c r="G6" s="87" t="s">
        <v>119</v>
      </c>
      <c r="I6" s="90" t="s">
        <v>112</v>
      </c>
      <c r="J6" s="90">
        <v>8</v>
      </c>
      <c r="K6" s="90" t="s">
        <v>183</v>
      </c>
      <c r="L6" s="91" t="str">
        <f>E5</f>
        <v>TMOAKZ01</v>
      </c>
      <c r="M6" s="90" t="s">
        <v>10</v>
      </c>
      <c r="N6" s="90" t="s">
        <v>129</v>
      </c>
    </row>
    <row r="7" spans="2:14" ht="15" customHeight="1" x14ac:dyDescent="0.25">
      <c r="B7" s="87" t="s">
        <v>92</v>
      </c>
      <c r="C7" s="87">
        <v>8</v>
      </c>
      <c r="D7" s="87" t="s">
        <v>174</v>
      </c>
      <c r="E7" s="97" t="s">
        <v>120</v>
      </c>
      <c r="F7" s="87" t="s">
        <v>10</v>
      </c>
      <c r="G7" s="87" t="s">
        <v>8</v>
      </c>
      <c r="I7" s="90" t="s">
        <v>92</v>
      </c>
      <c r="J7" s="90">
        <v>8</v>
      </c>
      <c r="K7" s="90" t="s">
        <v>174</v>
      </c>
      <c r="L7" s="91" t="s">
        <v>120</v>
      </c>
      <c r="M7" s="90" t="s">
        <v>10</v>
      </c>
      <c r="N7" s="90" t="s">
        <v>130</v>
      </c>
    </row>
    <row r="8" spans="2:14" ht="15" customHeight="1" x14ac:dyDescent="0.25">
      <c r="B8" s="87" t="s">
        <v>94</v>
      </c>
      <c r="C8" s="87">
        <v>4</v>
      </c>
      <c r="D8" s="87" t="s">
        <v>175</v>
      </c>
      <c r="E8" s="97" t="s">
        <v>95</v>
      </c>
      <c r="F8" s="87" t="s">
        <v>10</v>
      </c>
      <c r="G8" s="87" t="s">
        <v>126</v>
      </c>
      <c r="I8" s="90" t="s">
        <v>94</v>
      </c>
      <c r="J8" s="90">
        <v>4</v>
      </c>
      <c r="K8" s="90" t="s">
        <v>175</v>
      </c>
      <c r="L8" s="92" t="s">
        <v>157</v>
      </c>
      <c r="M8" s="90" t="s">
        <v>131</v>
      </c>
      <c r="N8" s="90" t="s">
        <v>138</v>
      </c>
    </row>
    <row r="9" spans="2:14" ht="15" customHeight="1" x14ac:dyDescent="0.25">
      <c r="B9" s="88" t="s">
        <v>96</v>
      </c>
      <c r="C9" s="88">
        <v>14</v>
      </c>
      <c r="D9" s="88" t="s">
        <v>97</v>
      </c>
      <c r="E9" s="98" t="s">
        <v>121</v>
      </c>
      <c r="F9" s="88" t="s">
        <v>10</v>
      </c>
      <c r="G9" s="88" t="s">
        <v>196</v>
      </c>
      <c r="I9" s="93" t="s">
        <v>117</v>
      </c>
      <c r="J9" s="93">
        <v>4</v>
      </c>
      <c r="K9" s="93" t="s">
        <v>181</v>
      </c>
      <c r="L9" s="94" t="s">
        <v>2</v>
      </c>
      <c r="M9" s="95" t="s">
        <v>10</v>
      </c>
      <c r="N9" s="93" t="s">
        <v>2</v>
      </c>
    </row>
    <row r="10" spans="2:14" ht="15" customHeight="1" x14ac:dyDescent="0.25">
      <c r="B10" s="88" t="s">
        <v>99</v>
      </c>
      <c r="C10" s="88">
        <v>2</v>
      </c>
      <c r="D10" s="88" t="s">
        <v>176</v>
      </c>
      <c r="E10" s="98" t="s">
        <v>100</v>
      </c>
      <c r="F10" s="88" t="s">
        <v>10</v>
      </c>
      <c r="G10" s="88" t="s">
        <v>156</v>
      </c>
    </row>
    <row r="11" spans="2:14" ht="15" customHeight="1" x14ac:dyDescent="0.25">
      <c r="B11" s="88" t="s">
        <v>101</v>
      </c>
      <c r="C11" s="88">
        <v>2</v>
      </c>
      <c r="D11" s="88" t="s">
        <v>177</v>
      </c>
      <c r="E11" s="98" t="str">
        <f>Filled_by_requestor!J24</f>
        <v>FG</v>
      </c>
      <c r="F11" s="88" t="s">
        <v>10</v>
      </c>
      <c r="G11" s="88" t="s">
        <v>197</v>
      </c>
    </row>
    <row r="12" spans="2:14" ht="15" customHeight="1" x14ac:dyDescent="0.25">
      <c r="B12" s="88" t="s">
        <v>102</v>
      </c>
      <c r="C12" s="88">
        <v>8</v>
      </c>
      <c r="D12" s="88" t="s">
        <v>178</v>
      </c>
      <c r="E12" s="98">
        <v>12345678</v>
      </c>
      <c r="F12" s="99"/>
      <c r="G12" s="88" t="s">
        <v>122</v>
      </c>
    </row>
    <row r="13" spans="2:14" ht="15" customHeight="1" x14ac:dyDescent="0.25">
      <c r="B13" s="88" t="s">
        <v>104</v>
      </c>
      <c r="C13" s="88">
        <v>16</v>
      </c>
      <c r="D13" s="88" t="s">
        <v>179</v>
      </c>
      <c r="E13" s="98" t="s">
        <v>123</v>
      </c>
      <c r="F13" s="88" t="s">
        <v>10</v>
      </c>
      <c r="G13" s="88" t="s">
        <v>198</v>
      </c>
    </row>
    <row r="14" spans="2:14" ht="15" customHeight="1" x14ac:dyDescent="0.25">
      <c r="B14" s="89" t="s">
        <v>106</v>
      </c>
      <c r="C14" s="89">
        <v>2</v>
      </c>
      <c r="D14" s="89" t="s">
        <v>180</v>
      </c>
      <c r="E14" s="112" t="str">
        <f>IF(LEN(Filled_by_requestor!H17)&lt;2,"0"&amp;Filled_by_requestor!H17,Filled_by_requestor!H17)</f>
        <v>01</v>
      </c>
      <c r="F14" s="100" t="s">
        <v>9</v>
      </c>
      <c r="G14" s="89" t="s">
        <v>215</v>
      </c>
      <c r="I14" s="101" t="s">
        <v>159</v>
      </c>
    </row>
    <row r="15" spans="2:14" ht="15" customHeight="1" x14ac:dyDescent="0.25">
      <c r="B15" s="116" t="s">
        <v>141</v>
      </c>
      <c r="C15" s="116"/>
      <c r="D15" s="116"/>
      <c r="E15" s="116"/>
      <c r="F15" s="116"/>
      <c r="G15" s="116"/>
    </row>
    <row r="16" spans="2:14" ht="15" customHeight="1" x14ac:dyDescent="0.25">
      <c r="B16" s="103" t="s">
        <v>147</v>
      </c>
      <c r="C16" s="103">
        <v>4</v>
      </c>
      <c r="D16" s="103" t="s">
        <v>107</v>
      </c>
      <c r="E16" s="121" t="s">
        <v>124</v>
      </c>
      <c r="F16" s="119" t="s">
        <v>10</v>
      </c>
      <c r="G16" s="103" t="s">
        <v>212</v>
      </c>
    </row>
    <row r="17" spans="2:7" ht="15" customHeight="1" x14ac:dyDescent="0.25">
      <c r="B17" s="103" t="s">
        <v>148</v>
      </c>
      <c r="C17" s="103">
        <v>2</v>
      </c>
      <c r="D17" s="103" t="s">
        <v>237</v>
      </c>
      <c r="E17" s="121" t="str">
        <f>"01"</f>
        <v>01</v>
      </c>
      <c r="F17" s="119" t="s">
        <v>9</v>
      </c>
      <c r="G17" s="103" t="s">
        <v>213</v>
      </c>
    </row>
    <row r="18" spans="2:7" ht="15" customHeight="1" x14ac:dyDescent="0.25">
      <c r="B18" s="103" t="s">
        <v>149</v>
      </c>
      <c r="C18" s="103">
        <v>20</v>
      </c>
      <c r="D18" s="103" t="s">
        <v>238</v>
      </c>
      <c r="E18" s="121" t="s">
        <v>125</v>
      </c>
      <c r="F18" s="119" t="s">
        <v>10</v>
      </c>
      <c r="G18" s="103" t="s">
        <v>214</v>
      </c>
    </row>
  </sheetData>
  <pageMargins left="0.11811023622047245" right="0.11811023622047245" top="0.19685039370078741" bottom="0.19685039370078741" header="0.31496062992125984" footer="0.31496062992125984"/>
  <pageSetup paperSize="9" scale="77" orientation="portrait" r:id="rId1"/>
  <headerFooter>
    <oddFooter>&amp;L&amp;F&amp;CSeite &amp;P von &amp;N&amp;R&amp;A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B2:N18"/>
  <sheetViews>
    <sheetView showGridLines="0" zoomScale="90" zoomScaleNormal="90" workbookViewId="0"/>
  </sheetViews>
  <sheetFormatPr baseColWidth="10" defaultColWidth="11.44140625" defaultRowHeight="15" customHeight="1" x14ac:dyDescent="0.25"/>
  <cols>
    <col min="1" max="1" width="5.6640625" style="113" customWidth="1"/>
    <col min="2" max="3" width="15.6640625" style="113" customWidth="1"/>
    <col min="4" max="4" width="18.6640625" style="113" customWidth="1"/>
    <col min="5" max="5" width="20.6640625" style="113" customWidth="1"/>
    <col min="6" max="6" width="15.6640625" style="113" customWidth="1"/>
    <col min="7" max="7" width="55.6640625" style="113" customWidth="1"/>
    <col min="8" max="8" width="5.109375" style="113" customWidth="1"/>
    <col min="9" max="9" width="12.6640625" style="113" customWidth="1"/>
    <col min="10" max="10" width="9.109375" style="113" customWidth="1"/>
    <col min="11" max="11" width="15.33203125" style="113" customWidth="1"/>
    <col min="12" max="12" width="13.88671875" style="113" customWidth="1"/>
    <col min="13" max="13" width="18.44140625" style="113" customWidth="1"/>
    <col min="14" max="14" width="63.6640625" style="113" customWidth="1"/>
    <col min="15" max="17" width="46.109375" style="113" customWidth="1"/>
    <col min="18" max="16384" width="11.44140625" style="113"/>
  </cols>
  <sheetData>
    <row r="2" spans="2:14" ht="15" customHeight="1" x14ac:dyDescent="0.25">
      <c r="B2" s="115" t="s">
        <v>200</v>
      </c>
      <c r="I2" s="115" t="s">
        <v>206</v>
      </c>
      <c r="J2" s="123"/>
      <c r="K2" s="123"/>
      <c r="L2" s="123"/>
      <c r="M2" s="124"/>
      <c r="N2" s="123"/>
    </row>
    <row r="3" spans="2:14" ht="15" customHeight="1" x14ac:dyDescent="0.25">
      <c r="B3" s="115"/>
    </row>
    <row r="4" spans="2:14" ht="15" customHeight="1" x14ac:dyDescent="0.25">
      <c r="B4" s="116" t="s">
        <v>3</v>
      </c>
      <c r="C4" s="116" t="s">
        <v>4</v>
      </c>
      <c r="D4" s="116" t="s">
        <v>5</v>
      </c>
      <c r="E4" s="116" t="s">
        <v>6</v>
      </c>
      <c r="F4" s="116" t="s">
        <v>113</v>
      </c>
      <c r="G4" s="116" t="s">
        <v>7</v>
      </c>
      <c r="I4" s="116" t="s">
        <v>3</v>
      </c>
      <c r="J4" s="116" t="s">
        <v>4</v>
      </c>
      <c r="K4" s="116" t="s">
        <v>5</v>
      </c>
      <c r="L4" s="116" t="s">
        <v>6</v>
      </c>
      <c r="M4" s="116" t="s">
        <v>113</v>
      </c>
      <c r="N4" s="116" t="s">
        <v>7</v>
      </c>
    </row>
    <row r="5" spans="2:14" ht="15" customHeight="1" x14ac:dyDescent="0.25">
      <c r="B5" s="96" t="s">
        <v>111</v>
      </c>
      <c r="C5" s="87">
        <v>8</v>
      </c>
      <c r="D5" s="87" t="s">
        <v>182</v>
      </c>
      <c r="E5" s="97" t="str">
        <f>Filled_by_requestor!H12</f>
        <v>TMOAKZ01</v>
      </c>
      <c r="F5" s="87" t="s">
        <v>10</v>
      </c>
      <c r="G5" s="87" t="s">
        <v>90</v>
      </c>
      <c r="I5" s="90" t="s">
        <v>111</v>
      </c>
      <c r="J5" s="90">
        <v>8</v>
      </c>
      <c r="K5" s="90" t="s">
        <v>182</v>
      </c>
      <c r="L5" s="91" t="str">
        <f>E6</f>
        <v>MONTIPSQ</v>
      </c>
      <c r="M5" s="90" t="s">
        <v>10</v>
      </c>
      <c r="N5" s="90" t="s">
        <v>128</v>
      </c>
    </row>
    <row r="6" spans="2:14" ht="15" customHeight="1" x14ac:dyDescent="0.25">
      <c r="B6" s="96" t="s">
        <v>112</v>
      </c>
      <c r="C6" s="87">
        <v>8</v>
      </c>
      <c r="D6" s="87" t="s">
        <v>183</v>
      </c>
      <c r="E6" s="97" t="str">
        <f>Filled_by_requestor!C24</f>
        <v>MONTIPSQ</v>
      </c>
      <c r="F6" s="87" t="s">
        <v>10</v>
      </c>
      <c r="G6" s="87" t="s">
        <v>119</v>
      </c>
      <c r="I6" s="90" t="s">
        <v>112</v>
      </c>
      <c r="J6" s="90">
        <v>8</v>
      </c>
      <c r="K6" s="90" t="s">
        <v>183</v>
      </c>
      <c r="L6" s="91" t="str">
        <f>E5</f>
        <v>TMOAKZ01</v>
      </c>
      <c r="M6" s="90" t="s">
        <v>10</v>
      </c>
      <c r="N6" s="90" t="s">
        <v>129</v>
      </c>
    </row>
    <row r="7" spans="2:14" ht="15" customHeight="1" x14ac:dyDescent="0.25">
      <c r="B7" s="87" t="s">
        <v>92</v>
      </c>
      <c r="C7" s="87">
        <v>8</v>
      </c>
      <c r="D7" s="87" t="s">
        <v>174</v>
      </c>
      <c r="E7" s="97" t="s">
        <v>201</v>
      </c>
      <c r="F7" s="87" t="s">
        <v>10</v>
      </c>
      <c r="G7" s="87" t="s">
        <v>8</v>
      </c>
      <c r="I7" s="90" t="s">
        <v>92</v>
      </c>
      <c r="J7" s="90">
        <v>8</v>
      </c>
      <c r="K7" s="90" t="s">
        <v>174</v>
      </c>
      <c r="L7" s="91" t="s">
        <v>201</v>
      </c>
      <c r="M7" s="90" t="s">
        <v>10</v>
      </c>
      <c r="N7" s="90" t="s">
        <v>204</v>
      </c>
    </row>
    <row r="8" spans="2:14" ht="15" customHeight="1" x14ac:dyDescent="0.25">
      <c r="B8" s="87" t="s">
        <v>94</v>
      </c>
      <c r="C8" s="87">
        <v>4</v>
      </c>
      <c r="D8" s="87" t="s">
        <v>175</v>
      </c>
      <c r="E8" s="97" t="s">
        <v>95</v>
      </c>
      <c r="F8" s="87" t="s">
        <v>10</v>
      </c>
      <c r="G8" s="87" t="s">
        <v>126</v>
      </c>
      <c r="I8" s="90" t="s">
        <v>94</v>
      </c>
      <c r="J8" s="90">
        <v>4</v>
      </c>
      <c r="K8" s="90" t="s">
        <v>175</v>
      </c>
      <c r="L8" s="92" t="s">
        <v>157</v>
      </c>
      <c r="M8" s="90" t="s">
        <v>131</v>
      </c>
      <c r="N8" s="90" t="s">
        <v>138</v>
      </c>
    </row>
    <row r="9" spans="2:14" ht="15" customHeight="1" x14ac:dyDescent="0.25">
      <c r="B9" s="88" t="s">
        <v>96</v>
      </c>
      <c r="C9" s="88">
        <v>14</v>
      </c>
      <c r="D9" s="88" t="s">
        <v>97</v>
      </c>
      <c r="E9" s="98" t="s">
        <v>121</v>
      </c>
      <c r="F9" s="88" t="s">
        <v>10</v>
      </c>
      <c r="G9" s="88" t="s">
        <v>196</v>
      </c>
      <c r="I9" s="93" t="s">
        <v>117</v>
      </c>
      <c r="J9" s="93">
        <v>4</v>
      </c>
      <c r="K9" s="93" t="s">
        <v>181</v>
      </c>
      <c r="L9" s="94" t="s">
        <v>2</v>
      </c>
      <c r="M9" s="95" t="s">
        <v>10</v>
      </c>
      <c r="N9" s="93" t="s">
        <v>2</v>
      </c>
    </row>
    <row r="10" spans="2:14" ht="15" customHeight="1" x14ac:dyDescent="0.25">
      <c r="B10" s="88" t="s">
        <v>99</v>
      </c>
      <c r="C10" s="88">
        <v>2</v>
      </c>
      <c r="D10" s="88" t="s">
        <v>176</v>
      </c>
      <c r="E10" s="98" t="s">
        <v>100</v>
      </c>
      <c r="F10" s="88" t="s">
        <v>10</v>
      </c>
      <c r="G10" s="88" t="s">
        <v>156</v>
      </c>
    </row>
    <row r="11" spans="2:14" ht="15" customHeight="1" x14ac:dyDescent="0.25">
      <c r="B11" s="88" t="s">
        <v>101</v>
      </c>
      <c r="C11" s="88">
        <v>2</v>
      </c>
      <c r="D11" s="88" t="s">
        <v>177</v>
      </c>
      <c r="E11" s="98" t="str">
        <f>Filled_by_requestor!J24</f>
        <v>FG</v>
      </c>
      <c r="F11" s="88" t="s">
        <v>10</v>
      </c>
      <c r="G11" s="88" t="s">
        <v>197</v>
      </c>
    </row>
    <row r="12" spans="2:14" ht="15" customHeight="1" x14ac:dyDescent="0.25">
      <c r="B12" s="88" t="s">
        <v>102</v>
      </c>
      <c r="C12" s="88">
        <v>8</v>
      </c>
      <c r="D12" s="88" t="s">
        <v>178</v>
      </c>
      <c r="E12" s="98">
        <v>12345678</v>
      </c>
      <c r="F12" s="99"/>
      <c r="G12" s="88" t="s">
        <v>122</v>
      </c>
    </row>
    <row r="13" spans="2:14" ht="15" customHeight="1" x14ac:dyDescent="0.25">
      <c r="B13" s="88" t="s">
        <v>104</v>
      </c>
      <c r="C13" s="88">
        <v>16</v>
      </c>
      <c r="D13" s="88" t="s">
        <v>179</v>
      </c>
      <c r="E13" s="98" t="s">
        <v>123</v>
      </c>
      <c r="F13" s="88" t="s">
        <v>10</v>
      </c>
      <c r="G13" s="88" t="s">
        <v>198</v>
      </c>
      <c r="I13" s="101"/>
    </row>
    <row r="14" spans="2:14" ht="15" customHeight="1" x14ac:dyDescent="0.25">
      <c r="B14" s="89" t="s">
        <v>106</v>
      </c>
      <c r="C14" s="89">
        <v>2</v>
      </c>
      <c r="D14" s="89" t="s">
        <v>180</v>
      </c>
      <c r="E14" s="112" t="str">
        <f>IF(LEN(Filled_by_requestor!H19)&lt;2,"0"&amp;Filled_by_requestor!H19,Filled_by_requestor!H19)</f>
        <v>01</v>
      </c>
      <c r="F14" s="100" t="s">
        <v>9</v>
      </c>
      <c r="G14" s="89" t="s">
        <v>205</v>
      </c>
      <c r="I14" s="101" t="s">
        <v>210</v>
      </c>
    </row>
    <row r="15" spans="2:14" ht="15" customHeight="1" x14ac:dyDescent="0.25">
      <c r="B15" s="116" t="s">
        <v>141</v>
      </c>
      <c r="C15" s="116"/>
      <c r="D15" s="116"/>
      <c r="E15" s="116"/>
      <c r="F15" s="116"/>
      <c r="G15" s="116"/>
    </row>
    <row r="16" spans="2:14" ht="15" customHeight="1" x14ac:dyDescent="0.25">
      <c r="B16" s="103" t="s">
        <v>147</v>
      </c>
      <c r="C16" s="103">
        <v>4</v>
      </c>
      <c r="D16" s="103" t="s">
        <v>107</v>
      </c>
      <c r="E16" s="121" t="s">
        <v>124</v>
      </c>
      <c r="F16" s="119" t="s">
        <v>10</v>
      </c>
      <c r="G16" s="103" t="s">
        <v>212</v>
      </c>
    </row>
    <row r="17" spans="2:7" ht="15" customHeight="1" x14ac:dyDescent="0.25">
      <c r="B17" s="103" t="s">
        <v>148</v>
      </c>
      <c r="C17" s="103">
        <v>2</v>
      </c>
      <c r="D17" s="103" t="s">
        <v>237</v>
      </c>
      <c r="E17" s="121" t="str">
        <f>"01"</f>
        <v>01</v>
      </c>
      <c r="F17" s="119" t="s">
        <v>9</v>
      </c>
      <c r="G17" s="103" t="s">
        <v>213</v>
      </c>
    </row>
    <row r="18" spans="2:7" ht="15" customHeight="1" x14ac:dyDescent="0.25">
      <c r="B18" s="103" t="s">
        <v>202</v>
      </c>
      <c r="C18" s="103">
        <v>60</v>
      </c>
      <c r="D18" s="103" t="s">
        <v>239</v>
      </c>
      <c r="E18" s="121" t="s">
        <v>125</v>
      </c>
      <c r="F18" s="119" t="s">
        <v>10</v>
      </c>
      <c r="G18" s="103" t="s">
        <v>230</v>
      </c>
    </row>
  </sheetData>
  <pageMargins left="0.11811023622047245" right="0.11811023622047245" top="0.19685039370078741" bottom="0.19685039370078741" header="0.31496062992125984" footer="0.31496062992125984"/>
  <pageSetup paperSize="9" scale="77" orientation="portrait" r:id="rId1"/>
  <headerFooter>
    <oddFooter>&amp;L&amp;F&amp;CSeite &amp;P von &amp;N&amp;R&amp;A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G19"/>
  <sheetViews>
    <sheetView showGridLines="0" zoomScale="90" zoomScaleNormal="90" workbookViewId="0"/>
  </sheetViews>
  <sheetFormatPr baseColWidth="10" defaultColWidth="11.44140625" defaultRowHeight="15" customHeight="1" x14ac:dyDescent="0.25"/>
  <cols>
    <col min="1" max="1" width="5.6640625" style="113" customWidth="1"/>
    <col min="2" max="3" width="15.6640625" style="113" customWidth="1"/>
    <col min="4" max="4" width="18.6640625" style="113" customWidth="1"/>
    <col min="5" max="5" width="20.6640625" style="113" customWidth="1"/>
    <col min="6" max="6" width="15.6640625" style="113" customWidth="1"/>
    <col min="7" max="7" width="55.6640625" style="113" customWidth="1"/>
    <col min="8" max="16384" width="11.44140625" style="113"/>
  </cols>
  <sheetData>
    <row r="2" spans="2:7" ht="15" customHeight="1" x14ac:dyDescent="0.25">
      <c r="B2" s="115" t="s">
        <v>161</v>
      </c>
    </row>
    <row r="4" spans="2:7" ht="15" customHeight="1" x14ac:dyDescent="0.25">
      <c r="B4" s="122" t="s">
        <v>3</v>
      </c>
      <c r="C4" s="122" t="s">
        <v>4</v>
      </c>
      <c r="D4" s="122" t="s">
        <v>5</v>
      </c>
      <c r="E4" s="122" t="s">
        <v>6</v>
      </c>
      <c r="F4" s="122" t="s">
        <v>113</v>
      </c>
      <c r="G4" s="122" t="s">
        <v>7</v>
      </c>
    </row>
    <row r="5" spans="2:7" ht="15" customHeight="1" x14ac:dyDescent="0.25">
      <c r="B5" s="87" t="s">
        <v>111</v>
      </c>
      <c r="C5" s="87">
        <v>8</v>
      </c>
      <c r="D5" s="87" t="s">
        <v>182</v>
      </c>
      <c r="E5" s="97" t="str">
        <f>Filled_by_requestor!H12</f>
        <v>TMOAKZ01</v>
      </c>
      <c r="F5" s="102" t="s">
        <v>10</v>
      </c>
      <c r="G5" s="87" t="s">
        <v>132</v>
      </c>
    </row>
    <row r="6" spans="2:7" ht="15" customHeight="1" x14ac:dyDescent="0.25">
      <c r="B6" s="87" t="s">
        <v>112</v>
      </c>
      <c r="C6" s="87">
        <v>8</v>
      </c>
      <c r="D6" s="87" t="s">
        <v>183</v>
      </c>
      <c r="E6" s="97" t="s">
        <v>133</v>
      </c>
      <c r="F6" s="102" t="s">
        <v>10</v>
      </c>
      <c r="G6" s="87" t="s">
        <v>160</v>
      </c>
    </row>
    <row r="7" spans="2:7" ht="15" customHeight="1" x14ac:dyDescent="0.25">
      <c r="B7" s="87" t="s">
        <v>92</v>
      </c>
      <c r="C7" s="87">
        <v>8</v>
      </c>
      <c r="D7" s="87" t="s">
        <v>174</v>
      </c>
      <c r="E7" s="97" t="s">
        <v>134</v>
      </c>
      <c r="F7" s="102" t="s">
        <v>10</v>
      </c>
      <c r="G7" s="87" t="s">
        <v>8</v>
      </c>
    </row>
    <row r="8" spans="2:7" ht="15" customHeight="1" x14ac:dyDescent="0.25">
      <c r="B8" s="87" t="s">
        <v>94</v>
      </c>
      <c r="C8" s="87">
        <v>4</v>
      </c>
      <c r="D8" s="87" t="s">
        <v>175</v>
      </c>
      <c r="E8" s="97" t="s">
        <v>95</v>
      </c>
      <c r="F8" s="102" t="s">
        <v>10</v>
      </c>
      <c r="G8" s="87" t="s">
        <v>135</v>
      </c>
    </row>
    <row r="12" spans="2:7" ht="15" customHeight="1" x14ac:dyDescent="0.25">
      <c r="B12" s="115" t="s">
        <v>139</v>
      </c>
    </row>
    <row r="14" spans="2:7" ht="15" customHeight="1" x14ac:dyDescent="0.25">
      <c r="B14" s="122" t="s">
        <v>3</v>
      </c>
      <c r="C14" s="122" t="s">
        <v>4</v>
      </c>
      <c r="D14" s="122" t="s">
        <v>5</v>
      </c>
      <c r="E14" s="122" t="s">
        <v>6</v>
      </c>
      <c r="F14" s="122" t="s">
        <v>113</v>
      </c>
      <c r="G14" s="122" t="s">
        <v>7</v>
      </c>
    </row>
    <row r="15" spans="2:7" ht="15" customHeight="1" x14ac:dyDescent="0.25">
      <c r="B15" s="90" t="s">
        <v>111</v>
      </c>
      <c r="C15" s="90">
        <v>8</v>
      </c>
      <c r="D15" s="90" t="s">
        <v>182</v>
      </c>
      <c r="E15" s="91" t="s">
        <v>133</v>
      </c>
      <c r="F15" s="90" t="s">
        <v>10</v>
      </c>
      <c r="G15" s="90" t="s">
        <v>136</v>
      </c>
    </row>
    <row r="16" spans="2:7" ht="15" customHeight="1" x14ac:dyDescent="0.25">
      <c r="B16" s="90" t="s">
        <v>112</v>
      </c>
      <c r="C16" s="90">
        <v>8</v>
      </c>
      <c r="D16" s="90" t="s">
        <v>183</v>
      </c>
      <c r="E16" s="91" t="str">
        <f>Filled_by_requestor!H12</f>
        <v>TMOAKZ01</v>
      </c>
      <c r="F16" s="90" t="s">
        <v>10</v>
      </c>
      <c r="G16" s="90" t="s">
        <v>129</v>
      </c>
    </row>
    <row r="17" spans="2:7" ht="15" customHeight="1" x14ac:dyDescent="0.25">
      <c r="B17" s="90" t="s">
        <v>92</v>
      </c>
      <c r="C17" s="90">
        <v>8</v>
      </c>
      <c r="D17" s="90" t="s">
        <v>174</v>
      </c>
      <c r="E17" s="91" t="s">
        <v>134</v>
      </c>
      <c r="F17" s="90" t="s">
        <v>10</v>
      </c>
      <c r="G17" s="90" t="s">
        <v>137</v>
      </c>
    </row>
    <row r="18" spans="2:7" ht="15" customHeight="1" x14ac:dyDescent="0.25">
      <c r="B18" s="90" t="s">
        <v>94</v>
      </c>
      <c r="C18" s="90">
        <v>4</v>
      </c>
      <c r="D18" s="90" t="s">
        <v>175</v>
      </c>
      <c r="E18" s="92" t="s">
        <v>157</v>
      </c>
      <c r="F18" s="90" t="s">
        <v>9</v>
      </c>
      <c r="G18" s="90" t="s">
        <v>138</v>
      </c>
    </row>
    <row r="19" spans="2:7" ht="15" customHeight="1" x14ac:dyDescent="0.25">
      <c r="B19" s="103" t="s">
        <v>117</v>
      </c>
      <c r="C19" s="103">
        <v>4</v>
      </c>
      <c r="D19" s="93" t="s">
        <v>181</v>
      </c>
      <c r="E19" s="104" t="s">
        <v>2</v>
      </c>
      <c r="F19" s="105" t="s">
        <v>10</v>
      </c>
      <c r="G19" s="104" t="s">
        <v>2</v>
      </c>
    </row>
  </sheetData>
  <pageMargins left="0.11811023622047245" right="0.11811023622047245" top="0.19685039370078741" bottom="0.19685039370078741" header="0.31496062992125984" footer="0.31496062992125984"/>
  <pageSetup paperSize="9" scale="77" orientation="portrait" r:id="rId1"/>
  <headerFooter>
    <oddFooter>&amp;L&amp;F&amp;CSeite &amp;P von &amp;N&amp;R&amp;A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G22"/>
  <sheetViews>
    <sheetView zoomScale="90" zoomScaleNormal="90" workbookViewId="0"/>
  </sheetViews>
  <sheetFormatPr baseColWidth="10" defaultColWidth="11.44140625" defaultRowHeight="15" customHeight="1" x14ac:dyDescent="0.25"/>
  <cols>
    <col min="1" max="1" width="5.6640625" style="113" customWidth="1"/>
    <col min="2" max="3" width="15.6640625" style="113" customWidth="1"/>
    <col min="4" max="4" width="18.6640625" style="113" customWidth="1"/>
    <col min="5" max="5" width="20.6640625" style="113" customWidth="1"/>
    <col min="6" max="6" width="15.6640625" style="114" customWidth="1"/>
    <col min="7" max="7" width="55.6640625" style="113" customWidth="1"/>
    <col min="8" max="8" width="15.6640625" style="113" customWidth="1"/>
    <col min="9" max="9" width="51.6640625" style="113" bestFit="1" customWidth="1"/>
    <col min="10" max="10" width="20.33203125" style="113" customWidth="1"/>
    <col min="11" max="16384" width="11.44140625" style="113"/>
  </cols>
  <sheetData>
    <row r="2" spans="2:7" ht="15" customHeight="1" x14ac:dyDescent="0.25">
      <c r="B2" s="115" t="s">
        <v>211</v>
      </c>
    </row>
    <row r="4" spans="2:7" ht="15" customHeight="1" x14ac:dyDescent="0.25">
      <c r="B4" s="116"/>
      <c r="C4" s="116"/>
      <c r="D4" s="116"/>
      <c r="E4" s="116"/>
      <c r="F4" s="116"/>
      <c r="G4" s="116"/>
    </row>
    <row r="5" spans="2:7" ht="15" customHeight="1" x14ac:dyDescent="0.25">
      <c r="B5" s="103"/>
      <c r="C5" s="103">
        <v>2</v>
      </c>
      <c r="D5" s="103" t="s">
        <v>231</v>
      </c>
      <c r="E5" s="118" t="str">
        <f>"01"</f>
        <v>01</v>
      </c>
      <c r="F5" s="119" t="s">
        <v>9</v>
      </c>
      <c r="G5" s="103" t="s">
        <v>216</v>
      </c>
    </row>
    <row r="6" spans="2:7" ht="15" customHeight="1" x14ac:dyDescent="0.25">
      <c r="B6" s="103"/>
      <c r="C6" s="103">
        <v>4</v>
      </c>
      <c r="D6" s="103" t="s">
        <v>232</v>
      </c>
      <c r="E6" s="120" t="s">
        <v>108</v>
      </c>
      <c r="F6" s="119" t="s">
        <v>10</v>
      </c>
      <c r="G6" s="103" t="s">
        <v>217</v>
      </c>
    </row>
    <row r="7" spans="2:7" ht="15" customHeight="1" x14ac:dyDescent="0.25">
      <c r="B7" s="103"/>
      <c r="C7" s="103">
        <v>2</v>
      </c>
      <c r="D7" s="103" t="s">
        <v>233</v>
      </c>
      <c r="E7" s="120" t="str">
        <f>"01"</f>
        <v>01</v>
      </c>
      <c r="F7" s="119" t="s">
        <v>9</v>
      </c>
      <c r="G7" s="103" t="s">
        <v>218</v>
      </c>
    </row>
    <row r="8" spans="2:7" ht="15" customHeight="1" x14ac:dyDescent="0.25">
      <c r="B8" s="103"/>
      <c r="C8" s="103">
        <v>4</v>
      </c>
      <c r="D8" s="103" t="s">
        <v>234</v>
      </c>
      <c r="E8" s="120" t="s">
        <v>192</v>
      </c>
      <c r="F8" s="119" t="s">
        <v>10</v>
      </c>
      <c r="G8" s="103" t="s">
        <v>219</v>
      </c>
    </row>
    <row r="10" spans="2:7" ht="15" customHeight="1" x14ac:dyDescent="0.25">
      <c r="B10" s="115" t="s">
        <v>146</v>
      </c>
    </row>
    <row r="12" spans="2:7" ht="15" customHeight="1" x14ac:dyDescent="0.25">
      <c r="B12" s="116"/>
      <c r="C12" s="116"/>
      <c r="D12" s="116"/>
      <c r="E12" s="116"/>
      <c r="F12" s="116"/>
      <c r="G12" s="116"/>
    </row>
    <row r="13" spans="2:7" ht="15" customHeight="1" x14ac:dyDescent="0.25">
      <c r="B13" s="103"/>
      <c r="C13" s="103">
        <v>4</v>
      </c>
      <c r="D13" s="103" t="s">
        <v>232</v>
      </c>
      <c r="E13" s="121" t="s">
        <v>124</v>
      </c>
      <c r="F13" s="119" t="s">
        <v>10</v>
      </c>
      <c r="G13" s="103" t="s">
        <v>222</v>
      </c>
    </row>
    <row r="14" spans="2:7" ht="15" customHeight="1" x14ac:dyDescent="0.25">
      <c r="B14" s="103"/>
      <c r="C14" s="103">
        <v>2</v>
      </c>
      <c r="D14" s="103" t="s">
        <v>233</v>
      </c>
      <c r="E14" s="121" t="str">
        <f>"01"</f>
        <v>01</v>
      </c>
      <c r="F14" s="119" t="s">
        <v>9</v>
      </c>
      <c r="G14" s="103" t="s">
        <v>220</v>
      </c>
    </row>
    <row r="15" spans="2:7" ht="15" customHeight="1" x14ac:dyDescent="0.25">
      <c r="B15" s="103"/>
      <c r="C15" s="103">
        <v>20</v>
      </c>
      <c r="D15" s="103" t="s">
        <v>235</v>
      </c>
      <c r="E15" s="121" t="s">
        <v>125</v>
      </c>
      <c r="F15" s="119" t="s">
        <v>10</v>
      </c>
      <c r="G15" s="103" t="s">
        <v>221</v>
      </c>
    </row>
    <row r="17" spans="2:7" ht="15" customHeight="1" x14ac:dyDescent="0.25">
      <c r="B17" s="115" t="s">
        <v>203</v>
      </c>
    </row>
    <row r="19" spans="2:7" ht="15" customHeight="1" x14ac:dyDescent="0.25">
      <c r="B19" s="116"/>
      <c r="C19" s="116"/>
      <c r="D19" s="116"/>
      <c r="E19" s="116"/>
      <c r="F19" s="116"/>
      <c r="G19" s="116"/>
    </row>
    <row r="20" spans="2:7" ht="15" customHeight="1" x14ac:dyDescent="0.25">
      <c r="B20" s="103"/>
      <c r="C20" s="103">
        <v>4</v>
      </c>
      <c r="D20" s="103" t="s">
        <v>232</v>
      </c>
      <c r="E20" s="121" t="s">
        <v>124</v>
      </c>
      <c r="F20" s="119" t="s">
        <v>10</v>
      </c>
      <c r="G20" s="103" t="s">
        <v>222</v>
      </c>
    </row>
    <row r="21" spans="2:7" ht="15" customHeight="1" x14ac:dyDescent="0.25">
      <c r="B21" s="103"/>
      <c r="C21" s="103">
        <v>2</v>
      </c>
      <c r="D21" s="103" t="s">
        <v>233</v>
      </c>
      <c r="E21" s="121" t="str">
        <f>"01"</f>
        <v>01</v>
      </c>
      <c r="F21" s="119" t="s">
        <v>9</v>
      </c>
      <c r="G21" s="103" t="s">
        <v>220</v>
      </c>
    </row>
    <row r="22" spans="2:7" ht="15" customHeight="1" x14ac:dyDescent="0.25">
      <c r="B22" s="103"/>
      <c r="C22" s="103">
        <v>60</v>
      </c>
      <c r="D22" s="103" t="s">
        <v>236</v>
      </c>
      <c r="E22" s="121" t="s">
        <v>125</v>
      </c>
      <c r="F22" s="119" t="s">
        <v>10</v>
      </c>
      <c r="G22" s="103" t="s">
        <v>223</v>
      </c>
    </row>
  </sheetData>
  <pageMargins left="0.11811023622047245" right="0.11811023622047245" top="0.19685039370078741" bottom="0.19685039370078741" header="0.31496062992125984" footer="0.31496062992125984"/>
  <pageSetup paperSize="9" scale="77" orientation="portrait" r:id="rId1"/>
  <headerFooter>
    <oddFooter>&amp;L&amp;F&amp;CSeite &amp;P von &amp;N&amp;R&amp;A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6"/>
  <sheetViews>
    <sheetView showWhiteSpace="0" zoomScale="130" zoomScaleNormal="130" workbookViewId="0">
      <selection activeCell="B10" sqref="B10"/>
    </sheetView>
  </sheetViews>
  <sheetFormatPr baseColWidth="10" defaultColWidth="11.44140625" defaultRowHeight="14.4" x14ac:dyDescent="0.3"/>
  <cols>
    <col min="1" max="1" width="8.109375" style="127" customWidth="1"/>
    <col min="2" max="2" width="46.109375" style="127" customWidth="1"/>
    <col min="3" max="3" width="22.109375" style="127" customWidth="1"/>
    <col min="4" max="4" width="28.109375" style="146" customWidth="1"/>
    <col min="5" max="5" width="31.109375" style="146" customWidth="1"/>
    <col min="6" max="16384" width="11.44140625" style="127"/>
  </cols>
  <sheetData>
    <row r="1" spans="1:6" ht="15" customHeight="1" x14ac:dyDescent="0.3">
      <c r="A1" s="197" t="s">
        <v>241</v>
      </c>
      <c r="B1" s="198" t="s">
        <v>242</v>
      </c>
      <c r="C1" s="198"/>
      <c r="D1" s="198"/>
      <c r="E1" s="125" t="s">
        <v>243</v>
      </c>
      <c r="F1" s="126"/>
    </row>
    <row r="2" spans="1:6" ht="15" customHeight="1" x14ac:dyDescent="0.3">
      <c r="A2" s="197"/>
      <c r="B2" s="198" t="s">
        <v>244</v>
      </c>
      <c r="C2" s="198"/>
      <c r="D2" s="198"/>
      <c r="E2" s="128" t="s">
        <v>245</v>
      </c>
      <c r="F2" s="126"/>
    </row>
    <row r="3" spans="1:6" ht="15" customHeight="1" x14ac:dyDescent="0.3">
      <c r="A3" s="197"/>
      <c r="B3" s="199"/>
      <c r="C3" s="199"/>
      <c r="D3" s="199"/>
      <c r="E3" s="198" t="s">
        <v>246</v>
      </c>
      <c r="F3" s="126"/>
    </row>
    <row r="4" spans="1:6" ht="52.2" customHeight="1" x14ac:dyDescent="0.3">
      <c r="A4" s="197"/>
      <c r="B4" s="199"/>
      <c r="C4" s="199"/>
      <c r="D4" s="199"/>
      <c r="E4" s="198"/>
      <c r="F4" s="126"/>
    </row>
    <row r="5" spans="1:6" ht="33" customHeight="1" x14ac:dyDescent="0.3">
      <c r="A5" s="197"/>
      <c r="B5" s="200" t="s">
        <v>247</v>
      </c>
      <c r="C5" s="200"/>
      <c r="D5" s="200"/>
      <c r="E5" s="129" t="s">
        <v>248</v>
      </c>
      <c r="F5" s="126"/>
    </row>
    <row r="6" spans="1:6" x14ac:dyDescent="0.3">
      <c r="A6" s="194"/>
      <c r="B6" s="194"/>
      <c r="C6" s="194"/>
      <c r="D6" s="194"/>
      <c r="E6" s="194"/>
      <c r="F6" s="126"/>
    </row>
    <row r="7" spans="1:6" ht="15" customHeight="1" x14ac:dyDescent="0.3">
      <c r="A7" s="195"/>
      <c r="B7" s="195"/>
      <c r="C7" s="195"/>
      <c r="D7" s="195"/>
      <c r="E7" s="195"/>
      <c r="F7" s="126"/>
    </row>
    <row r="8" spans="1:6" x14ac:dyDescent="0.3">
      <c r="A8" s="196" t="s">
        <v>249</v>
      </c>
      <c r="B8" s="196"/>
      <c r="C8" s="196"/>
      <c r="D8" s="196"/>
      <c r="E8" s="196"/>
      <c r="F8" s="126"/>
    </row>
    <row r="9" spans="1:6" ht="40.200000000000003" x14ac:dyDescent="0.3">
      <c r="A9" s="130" t="s">
        <v>250</v>
      </c>
      <c r="B9" s="131" t="s">
        <v>251</v>
      </c>
      <c r="C9" s="130" t="s">
        <v>252</v>
      </c>
      <c r="D9" s="130" t="s">
        <v>253</v>
      </c>
      <c r="E9" s="130" t="s">
        <v>254</v>
      </c>
      <c r="F9" s="126"/>
    </row>
    <row r="10" spans="1:6" s="136" customFormat="1" ht="40.200000000000003" x14ac:dyDescent="0.3">
      <c r="A10" s="132" t="s">
        <v>255</v>
      </c>
      <c r="B10" s="152" t="s">
        <v>291</v>
      </c>
      <c r="C10" s="133" t="s">
        <v>256</v>
      </c>
      <c r="D10" s="134"/>
      <c r="E10" s="134"/>
      <c r="F10" s="135"/>
    </row>
    <row r="11" spans="1:6" ht="22.2" customHeight="1" x14ac:dyDescent="0.3">
      <c r="A11" s="137" t="s">
        <v>191</v>
      </c>
      <c r="B11" s="125" t="s">
        <v>257</v>
      </c>
      <c r="C11" s="138" t="s">
        <v>258</v>
      </c>
      <c r="D11" s="138" t="s">
        <v>259</v>
      </c>
      <c r="E11" s="138" t="s">
        <v>260</v>
      </c>
      <c r="F11" s="126"/>
    </row>
    <row r="12" spans="1:6" s="141" customFormat="1" ht="42" customHeight="1" x14ac:dyDescent="0.3">
      <c r="A12" s="132" t="s">
        <v>261</v>
      </c>
      <c r="B12" s="128" t="s">
        <v>240</v>
      </c>
      <c r="C12" s="133" t="s">
        <v>262</v>
      </c>
      <c r="D12" s="139"/>
      <c r="E12" s="139"/>
      <c r="F12" s="140"/>
    </row>
    <row r="13" spans="1:6" ht="54" customHeight="1" x14ac:dyDescent="0.3">
      <c r="A13" s="137" t="s">
        <v>263</v>
      </c>
      <c r="B13" s="125" t="s">
        <v>199</v>
      </c>
      <c r="C13" s="142" t="s">
        <v>264</v>
      </c>
      <c r="D13" s="138"/>
      <c r="E13" s="138"/>
      <c r="F13" s="126"/>
    </row>
    <row r="14" spans="1:6" ht="27" customHeight="1" x14ac:dyDescent="0.3">
      <c r="A14" s="137" t="s">
        <v>265</v>
      </c>
      <c r="B14" s="125" t="s">
        <v>189</v>
      </c>
      <c r="C14" s="138" t="s">
        <v>266</v>
      </c>
      <c r="D14" s="138"/>
      <c r="E14" s="138"/>
      <c r="F14" s="126"/>
    </row>
    <row r="15" spans="1:6" ht="22.2" customHeight="1" x14ac:dyDescent="0.3">
      <c r="A15" s="143" t="s">
        <v>267</v>
      </c>
      <c r="B15" s="144" t="s">
        <v>190</v>
      </c>
      <c r="C15" s="145" t="s">
        <v>268</v>
      </c>
      <c r="D15" s="138"/>
      <c r="E15" s="138"/>
      <c r="F15" s="126"/>
    </row>
    <row r="16" spans="1:6" ht="22.2" customHeight="1" x14ac:dyDescent="0.3">
      <c r="A16" s="143" t="s">
        <v>269</v>
      </c>
      <c r="B16" s="144" t="s">
        <v>270</v>
      </c>
      <c r="C16" s="138" t="s">
        <v>271</v>
      </c>
      <c r="D16" s="145"/>
      <c r="E16" s="145"/>
    </row>
  </sheetData>
  <mergeCells count="9">
    <mergeCell ref="A6:E6"/>
    <mergeCell ref="A7:E7"/>
    <mergeCell ref="A8:E8"/>
    <mergeCell ref="A1:A5"/>
    <mergeCell ref="B1:D1"/>
    <mergeCell ref="B2:D2"/>
    <mergeCell ref="B3:D4"/>
    <mergeCell ref="E3:E4"/>
    <mergeCell ref="B5:D5"/>
  </mergeCells>
  <pageMargins left="0.43307086614173229" right="0.43307086614173229" top="0.62992125984251968" bottom="0.59055118110236227" header="0.31496062992125984" footer="0.31496062992125984"/>
  <pageSetup paperSize="9" orientation="landscape" r:id="rId1"/>
  <headerFooter>
    <oddHeader>&amp;C&amp;"BMW Group Condensed,Fett"&amp;12Lenkungsinformationen</oddHeader>
    <oddFooter>&amp;C&amp;"BMW Group Condensed,Fett"&amp;10Ausdruck nur zur Information&amp;R&amp;"BMW Group Condensed,Fett"&amp;10S. 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4</vt:i4>
      </vt:variant>
    </vt:vector>
  </HeadingPairs>
  <TitlesOfParts>
    <vt:vector size="12" baseType="lpstr">
      <vt:lpstr>Filled_by_requestor</vt:lpstr>
      <vt:lpstr>Filled by IT</vt:lpstr>
      <vt:lpstr>_ATTVAR_</vt:lpstr>
      <vt:lpstr>TEILCODE</vt:lpstr>
      <vt:lpstr>TEILCO2D</vt:lpstr>
      <vt:lpstr>++++LIFE</vt:lpstr>
      <vt:lpstr>Block Template</vt:lpstr>
      <vt:lpstr>Changes</vt:lpstr>
      <vt:lpstr>_ATTVAR_!Druckbereich</vt:lpstr>
      <vt:lpstr>Changes!Druckbereich</vt:lpstr>
      <vt:lpstr>'Filled by IT'!Druckbereich</vt:lpstr>
      <vt:lpstr>Filled_by_requestor!Druckbereich</vt:lpstr>
    </vt:vector>
  </TitlesOfParts>
  <Company>BMW Group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Harnik Camilla Maria</dc:creator>
  <cp:lastModifiedBy>Berger Tilo</cp:lastModifiedBy>
  <cp:lastPrinted>2014-04-03T15:27:18Z</cp:lastPrinted>
  <dcterms:created xsi:type="dcterms:W3CDTF">2007-04-13T13:29:50Z</dcterms:created>
  <dcterms:modified xsi:type="dcterms:W3CDTF">2018-04-25T13:40:41Z</dcterms:modified>
</cp:coreProperties>
</file>