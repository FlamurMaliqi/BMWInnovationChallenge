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X:\21_ST\302_Standard_TMO_Version_V3.0\E_10_IT_System_Interfaces\"/>
    </mc:Choice>
  </mc:AlternateContent>
  <bookViews>
    <workbookView xWindow="4710" yWindow="-90" windowWidth="24990" windowHeight="11805" tabRatio="897"/>
  </bookViews>
  <sheets>
    <sheet name="Filled_by_requestor" sheetId="22" r:id="rId1"/>
    <sheet name="SPSDATEN" sheetId="24" r:id="rId2"/>
    <sheet name="SPSDELET" sheetId="25" r:id="rId3"/>
    <sheet name="SPSFRGIO" sheetId="27" r:id="rId4"/>
    <sheet name="SPS_PING" sheetId="26" r:id="rId5"/>
    <sheet name="Layout" sheetId="30" r:id="rId6"/>
    <sheet name="SPSWERTE" sheetId="28" r:id="rId7"/>
    <sheet name="SPSWERTE_values" sheetId="29" r:id="rId8"/>
    <sheet name="Changes" sheetId="32" r:id="rId9"/>
  </sheets>
  <externalReferences>
    <externalReference r:id="rId10"/>
  </externalReferences>
  <definedNames>
    <definedName name="Ablage" localSheetId="8">#REF!</definedName>
    <definedName name="Ablage">#REF!</definedName>
    <definedName name="Aktoren_Sensoren">#REF!</definedName>
    <definedName name="Control">#REF!</definedName>
    <definedName name="Dokumentart" localSheetId="8">#REF!</definedName>
    <definedName name="Dokumentart">#REF!</definedName>
    <definedName name="Dokumentkategorie" localSheetId="8">#REF!</definedName>
    <definedName name="Dokumentkategorie">#REF!</definedName>
    <definedName name="_xlnm.Print_Area" localSheetId="8">Changes!$A$1:$E$15</definedName>
    <definedName name="_xlnm.Print_Area" localSheetId="0">Filled_by_requestor!$A$1:$N$76</definedName>
    <definedName name="_xlnm.Print_Area" localSheetId="4">SPS_PING!$A$1:$H$21</definedName>
    <definedName name="_xlnm.Print_Area" localSheetId="1">SPSDATEN!$A$1:$H$38</definedName>
    <definedName name="_xlnm.Print_Area" localSheetId="2">SPSDELET!$A$1:$H$26</definedName>
    <definedName name="_xlnm.Print_Area" localSheetId="3">SPSFRGIO!$A$1:$H$27</definedName>
    <definedName name="_xlnm.Print_Area" localSheetId="6">SPSWERTE!$A$1:$O$26</definedName>
    <definedName name="Komponenten">[1]Daten!$A$2:$A$500</definedName>
    <definedName name="Ordner_Archive">#REF!</definedName>
    <definedName name="Prozessnummer" localSheetId="8">#REF!</definedName>
    <definedName name="Prozessnummer">#REF!</definedName>
    <definedName name="SIMATC_TIA_Profinet_Gerätenamen">#REF!</definedName>
    <definedName name="Simatic">#REF!</definedName>
    <definedName name="Simatic_TIA_Adressvergaben">#REF!</definedName>
    <definedName name="TCPIP_Namen">#REF!</definedName>
    <definedName name="Test">#REF!</definedName>
    <definedName name="Z_2E70E708_B73C_4323_9253_4875EF82DB2B_.wvu.Rows" localSheetId="0" hidden="1">Filled_by_requestor!$30:$43,Filled_by_requestor!$61:$75</definedName>
    <definedName name="Zugriffsbeschränkung" localSheetId="8">#REF!</definedName>
    <definedName name="Zugriffsbeschränkung">#REF!</definedName>
  </definedNames>
  <calcPr calcId="152511" calcMode="manual"/>
  <customWorkbookViews>
    <customWorkbookView name="PLC specific information" guid="{2E70E708-B73C-4323-9253-4875EF82DB2B}" includePrintSettings="0" maximized="1" xWindow="1" yWindow="1" windowWidth="1362" windowHeight="548" tabRatio="897" activeSheetId="22"/>
  </customWorkbookViews>
</workbook>
</file>

<file path=xl/calcChain.xml><?xml version="1.0" encoding="utf-8"?>
<calcChain xmlns="http://schemas.openxmlformats.org/spreadsheetml/2006/main">
  <c r="E9" i="28" l="1"/>
  <c r="E8" i="28"/>
  <c r="E12" i="25" l="1"/>
  <c r="E8" i="25"/>
  <c r="E7" i="25"/>
  <c r="C3" i="22"/>
  <c r="E13" i="28" l="1"/>
  <c r="E14" i="27" l="1"/>
  <c r="E14" i="26"/>
  <c r="E12" i="24"/>
  <c r="E10" i="27"/>
  <c r="E9" i="27"/>
  <c r="E10" i="26"/>
  <c r="E9" i="26"/>
  <c r="E8" i="24"/>
  <c r="E7" i="24"/>
</calcChain>
</file>

<file path=xl/sharedStrings.xml><?xml version="1.0" encoding="utf-8"?>
<sst xmlns="http://schemas.openxmlformats.org/spreadsheetml/2006/main" count="423" uniqueCount="201">
  <si>
    <t>1 - 8</t>
  </si>
  <si>
    <t>9 - 16</t>
  </si>
  <si>
    <t>17 - 24</t>
  </si>
  <si>
    <t>25 - 28</t>
  </si>
  <si>
    <t>29 - 32</t>
  </si>
  <si>
    <t>TELNAME</t>
  </si>
  <si>
    <t>IPS - Format</t>
  </si>
  <si>
    <t>ACKNO</t>
  </si>
  <si>
    <t>0000</t>
  </si>
  <si>
    <t>OR / FZ / FG / ID</t>
  </si>
  <si>
    <t>Character</t>
  </si>
  <si>
    <t>Number</t>
  </si>
  <si>
    <t>Field Name</t>
  </si>
  <si>
    <t>Example</t>
  </si>
  <si>
    <t>Description</t>
  </si>
  <si>
    <t>Telegram name</t>
  </si>
  <si>
    <t>alpha-
numeric</t>
  </si>
  <si>
    <t>numeric</t>
  </si>
  <si>
    <t>Original sender of the message. AKZ is a subset of the DNS name and must be setup according to the standardisation.</t>
  </si>
  <si>
    <t>Department code</t>
  </si>
  <si>
    <t>Tel. No</t>
  </si>
  <si>
    <t>Date</t>
  </si>
  <si>
    <t>Controls Planer</t>
  </si>
  <si>
    <t>Location</t>
  </si>
  <si>
    <t>IP Name/ IP Address</t>
  </si>
  <si>
    <t>Key of data set (OR/FG/FZ/ID)</t>
  </si>
  <si>
    <t>Version</t>
  </si>
  <si>
    <t>Author</t>
  </si>
  <si>
    <t>Changes</t>
  </si>
  <si>
    <t>V.1.0</t>
  </si>
  <si>
    <t>SPSDATEN</t>
  </si>
  <si>
    <t>TRANS Nr.</t>
  </si>
  <si>
    <t>Final destination of the message: Identifies BVIS KM  as communication partner</t>
  </si>
  <si>
    <t>KEY TYPE</t>
  </si>
  <si>
    <t>SOURCE</t>
  </si>
  <si>
    <t>DESTINATION</t>
  </si>
  <si>
    <t>33 - 34</t>
  </si>
  <si>
    <t>35 - 46</t>
  </si>
  <si>
    <t xml:space="preserve">KEY </t>
  </si>
  <si>
    <t>000007654321</t>
  </si>
  <si>
    <t>Key, right aligned and filled with "0"</t>
  </si>
  <si>
    <t>LFND</t>
  </si>
  <si>
    <t>47 - 52</t>
  </si>
  <si>
    <t>000123</t>
  </si>
  <si>
    <t>Running number, right aligned and filled with "0"</t>
  </si>
  <si>
    <t>53 - 60</t>
  </si>
  <si>
    <t>SPSDELET</t>
  </si>
  <si>
    <t>00000**001**</t>
  </si>
  <si>
    <t>For SPSDELET, the Key is **001** right aligned and filled with "0"</t>
  </si>
  <si>
    <t>SPS_PING</t>
  </si>
  <si>
    <t>000000000000</t>
  </si>
  <si>
    <t>000000</t>
  </si>
  <si>
    <t>Fix with 12 "0"</t>
  </si>
  <si>
    <t>Fix with 6 "0"</t>
  </si>
  <si>
    <t>Fix with 4 "0"</t>
  </si>
  <si>
    <t>Empty</t>
  </si>
  <si>
    <t>8 blanks</t>
  </si>
  <si>
    <t>TRANS</t>
  </si>
  <si>
    <t>Port (102 default for PLC)</t>
  </si>
  <si>
    <t>PLC Values PLC --&gt; BVIS KM</t>
  </si>
  <si>
    <t>SPSWERTE</t>
  </si>
  <si>
    <t>53 - 72</t>
  </si>
  <si>
    <t>BVIS Station</t>
  </si>
  <si>
    <t>73 - 74</t>
  </si>
  <si>
    <t>XX</t>
  </si>
  <si>
    <t>Identification, Name, IP-address of the BVIS station to which the telegram is addressed
Kennung, Name, IP Adresse der BVIS Station, an die das Telegramm adressiert ist</t>
  </si>
  <si>
    <t>75 - 256</t>
  </si>
  <si>
    <t xml:space="preserve">  ; </t>
  </si>
  <si>
    <t>Sign for seperation of the userdata
right aligned, first byte is blank</t>
  </si>
  <si>
    <t>User data interrupted with the separation sign
e.g. Name1= Value1|Name2=Value2|NameX=ValueX…</t>
  </si>
  <si>
    <t>Example for user data</t>
  </si>
  <si>
    <t>Byte</t>
  </si>
  <si>
    <t>User Data</t>
  </si>
  <si>
    <t>Die Nutzdaten werden im nächsten Reiter behandelt</t>
  </si>
  <si>
    <t>User data will be entered in the next sheet "_values"</t>
  </si>
  <si>
    <t>User specific data/ Benutzerspezifische Daten</t>
  </si>
  <si>
    <t>Caption/ Legende</t>
  </si>
  <si>
    <t>General</t>
  </si>
  <si>
    <t>The blue-marked cells are necessary to correctly fill in the telegram sheets!
Die blau-markierten Zellen sind zur richtigen Befüllung der Telegramme notwendig!</t>
  </si>
  <si>
    <r>
      <rPr>
        <b/>
        <sz val="10"/>
        <color theme="0"/>
        <rFont val="Arial"/>
        <family val="2"/>
      </rPr>
      <t>W1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Munich</t>
    </r>
  </si>
  <si>
    <r>
      <rPr>
        <b/>
        <sz val="10"/>
        <color theme="0"/>
        <rFont val="Arial"/>
        <family val="2"/>
      </rPr>
      <t>W2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Dingolfing</t>
    </r>
  </si>
  <si>
    <r>
      <rPr>
        <b/>
        <sz val="10"/>
        <color theme="0"/>
        <rFont val="Arial"/>
        <family val="2"/>
      </rPr>
      <t>W34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Oxford</t>
    </r>
  </si>
  <si>
    <r>
      <rPr>
        <b/>
        <sz val="10"/>
        <color theme="0"/>
        <rFont val="Arial"/>
        <family val="2"/>
      </rPr>
      <t>W6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Regensburg</t>
    </r>
  </si>
  <si>
    <r>
      <rPr>
        <b/>
        <sz val="10"/>
        <color theme="0"/>
        <rFont val="Arial"/>
        <family val="2"/>
      </rPr>
      <t>W7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Leipzig</t>
    </r>
  </si>
  <si>
    <r>
      <rPr>
        <b/>
        <sz val="10"/>
        <color theme="0"/>
        <rFont val="Arial"/>
        <family val="2"/>
      </rPr>
      <t>W9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Rosslyn</t>
    </r>
  </si>
  <si>
    <r>
      <rPr>
        <b/>
        <sz val="10"/>
        <color theme="0"/>
        <rFont val="Arial"/>
        <family val="2"/>
      </rPr>
      <t>W10</t>
    </r>
    <r>
      <rPr>
        <sz val="8"/>
        <color theme="0"/>
        <rFont val="Arial"/>
        <family val="2"/>
      </rPr>
      <t xml:space="preserve">
Spartanburg</t>
    </r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</si>
  <si>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B.50</t>
    </r>
  </si>
  <si>
    <r>
      <rPr>
        <b/>
        <sz val="10"/>
        <color theme="0"/>
        <rFont val="Arial"/>
        <family val="2"/>
      </rPr>
      <t>W19.88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Tiexi</t>
    </r>
  </si>
  <si>
    <t>BVIS7110</t>
  </si>
  <si>
    <t xml:space="preserve">Communication </t>
  </si>
  <si>
    <t xml:space="preserve"> </t>
  </si>
  <si>
    <t>BVIS7210</t>
  </si>
  <si>
    <t>Facility specific Information/ Anlagenspezifische Informationation</t>
  </si>
  <si>
    <t>Process information/ Prozessbeschreibung</t>
  </si>
  <si>
    <t>What is the background of the process?/ Was ist der Hintergrund des Prozesses?</t>
  </si>
  <si>
    <t>Clarification of process flow/ Klärung des Prozessablaufs</t>
  </si>
  <si>
    <t>Facility specific interface contract BVIS
Anlagenspezifischer Schnittstellenkontrakt BVIS</t>
  </si>
  <si>
    <t>AKZ</t>
  </si>
  <si>
    <t>Destination/ Ziel</t>
  </si>
  <si>
    <r>
      <rPr>
        <b/>
        <sz val="10"/>
        <color theme="0"/>
        <rFont val="Arial"/>
        <family val="2"/>
      </rPr>
      <t>W4</t>
    </r>
    <r>
      <rPr>
        <sz val="8"/>
        <color theme="0"/>
        <rFont val="Arial"/>
        <family val="2"/>
      </rPr>
      <t xml:space="preserve">
Landshut</t>
    </r>
  </si>
  <si>
    <t>Description/ Bezeichnung</t>
  </si>
  <si>
    <t>SPSWERTE (optional)</t>
  </si>
  <si>
    <t>BVIS Destination (KM)</t>
  </si>
  <si>
    <t xml:space="preserve">Layout </t>
  </si>
  <si>
    <t>List of tact-related telegrams / Liste der stationsbezogenen Telegramme</t>
  </si>
  <si>
    <t>Position/ Platz</t>
  </si>
  <si>
    <t>Telegram requirement/ Telegrammanforderungen</t>
  </si>
  <si>
    <t>In case of a connection break off on KM site, the connection will only be established by sending the SPS_PING/ Nach Verbindungsabbruch wird die Verbindung mit SPS_PING wieder hergestellt</t>
  </si>
  <si>
    <t>This telegram is not a standard telegram within the PLC/ Dieses Telegramm ist kein Standardtelegramm innerhalb der SPS</t>
  </si>
  <si>
    <t>It is used as release signal for the conveyor technique/ Damit erfolgt Fahrfreigabe für das Fördersystem</t>
  </si>
  <si>
    <t xml:space="preserve">/Mit dem Quittiertelegramm SPSFRGIO wird der Band-SPS mitgeteilt, dass an diesem Ort das PickToLight richtig entnommen wurde. </t>
  </si>
  <si>
    <t>MONTBVIS</t>
  </si>
  <si>
    <t>BVIS0110</t>
  </si>
  <si>
    <t>Source facility (e.g. AKZ)</t>
  </si>
  <si>
    <t>Facility description</t>
  </si>
  <si>
    <t>Test date</t>
  </si>
  <si>
    <t>SOP date (interface go-live)</t>
  </si>
  <si>
    <t>Trans number is 4 digits only!</t>
  </si>
  <si>
    <t>TRANS(4-digit)</t>
  </si>
  <si>
    <t>Short Description and AKZ + TPA/ Ticket (if available)</t>
  </si>
  <si>
    <r>
      <t xml:space="preserve">Key (7 digits), right aligned and filled with "0"
</t>
    </r>
    <r>
      <rPr>
        <b/>
        <sz val="10"/>
        <rFont val="Arial"/>
        <family val="2"/>
      </rPr>
      <t>For an empty tact, the PLC sends 00000**001** (fix)
For a specific layout, PLC sends 00000**000** (fix)</t>
    </r>
    <r>
      <rPr>
        <sz val="10"/>
        <rFont val="Arial"/>
        <family val="2"/>
      </rPr>
      <t xml:space="preserve">
</t>
    </r>
  </si>
  <si>
    <t>This telegram is sent when entering the station/ Datentelegram bei Einfahrt in den Takt</t>
  </si>
  <si>
    <t>This telegram is sent when leaving the station/ Löschtelegramm bei Ausfahrt aus dem Takt</t>
  </si>
  <si>
    <t xml:space="preserve">This telegram will be sent every 3 min, if no other telegram is queuing/ Das Telegram wird alle 3min gesendet, wenn kein anderes Telegram ansteht
This is used </t>
  </si>
  <si>
    <t>SPS_PING is used for connection monitoring, especially for initialization of the connection/ Verbindungsüberwachung und Initialisieren der Verbindung</t>
  </si>
  <si>
    <t>TRANS Nr. consists of 4 digits, right aligned and filled with "0". It is defined as the line/ tact or the combination of both.</t>
  </si>
  <si>
    <t>Key (7 digits), right aligned and filled with "0"</t>
  </si>
  <si>
    <t>BVIS0610</t>
  </si>
  <si>
    <t>FZ</t>
  </si>
  <si>
    <t>0123</t>
  </si>
  <si>
    <t>SPSDATEN telegram PLC--&gt; BVIS KM</t>
  </si>
  <si>
    <t>SPSDELETE telegram PLC--&gt; BVIS KM (optional)</t>
  </si>
  <si>
    <t>SPSPING telegram PLC--&gt; BVIS KM</t>
  </si>
  <si>
    <t>SPSFRGIO telegramm for Ready signal BVIS KM--&gt; PLC</t>
  </si>
  <si>
    <t>KEIN</t>
  </si>
  <si>
    <t>There is no acknowledgement by BVIS KM, therefore ACKNO=KEIN</t>
  </si>
  <si>
    <t>PLC_Connection_ID=4: RCF1006 Communication parameters Overview/ Kommunikationsparameter Überblick Werke</t>
  </si>
  <si>
    <t>TSAP PLC_local
ASCII (CP/ CPU)  ab 2014</t>
  </si>
  <si>
    <t>Port information</t>
  </si>
  <si>
    <t>102 is used as default port for all S7- facilities</t>
  </si>
  <si>
    <t>Please be aware, that for ICOMM you may need to use a differnt port.</t>
  </si>
  <si>
    <t>TSAP PLC_remote</t>
  </si>
  <si>
    <t>TSAP (remote)</t>
  </si>
  <si>
    <t>TSAP of partner connection 
TSAP des Verbindungspartners</t>
  </si>
  <si>
    <r>
      <rPr>
        <b/>
        <sz val="10"/>
        <rFont val="Arial"/>
        <family val="2"/>
      </rPr>
      <t>TSAP (local)</t>
    </r>
    <r>
      <rPr>
        <sz val="10"/>
        <rFont val="Arial"/>
        <family val="2"/>
      </rPr>
      <t xml:space="preserve">
TSAP of the local facility
TSAP der lokalen Anlage
</t>
    </r>
  </si>
  <si>
    <t>TSAP remote (IPS-L KM)</t>
  </si>
  <si>
    <t>(Partner)</t>
  </si>
  <si>
    <t>(Local)</t>
  </si>
  <si>
    <t>TMOAKZ01</t>
  </si>
  <si>
    <t>TSAP PLC local = AKZ</t>
  </si>
  <si>
    <t>active</t>
  </si>
  <si>
    <t>passive</t>
  </si>
  <si>
    <t>SPSFRGIO</t>
  </si>
  <si>
    <t xml:space="preserve">With the acknowledgement telegram SPSFRGIO, the line PLC will be informed about the correct removal of the pick to light.
</t>
  </si>
  <si>
    <r>
      <rPr>
        <b/>
        <sz val="10"/>
        <color theme="0"/>
        <rFont val="Arial"/>
        <family val="2"/>
      </rPr>
      <t>W19.10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Dadong B.52</t>
    </r>
  </si>
  <si>
    <r>
      <rPr>
        <b/>
        <sz val="10"/>
        <color theme="0"/>
        <rFont val="Arial"/>
        <family val="2"/>
      </rPr>
      <t>W19.10</t>
    </r>
    <r>
      <rPr>
        <sz val="9"/>
        <color theme="0"/>
        <rFont val="Arial"/>
        <family val="2"/>
      </rPr>
      <t xml:space="preserve">
Dadong B.55</t>
    </r>
  </si>
  <si>
    <r>
      <rPr>
        <b/>
        <sz val="10"/>
        <color theme="0"/>
        <rFont val="Arial"/>
        <family val="2"/>
      </rPr>
      <t>W35</t>
    </r>
    <r>
      <rPr>
        <b/>
        <sz val="8"/>
        <color theme="0"/>
        <rFont val="Arial"/>
        <family val="2"/>
      </rPr>
      <t xml:space="preserve">
</t>
    </r>
    <r>
      <rPr>
        <sz val="8"/>
        <color theme="0"/>
        <rFont val="Arial"/>
        <family val="2"/>
      </rPr>
      <t>Brasil</t>
    </r>
  </si>
  <si>
    <r>
      <rPr>
        <b/>
        <sz val="10"/>
        <color theme="0"/>
        <rFont val="Arial"/>
        <family val="2"/>
      </rPr>
      <t>W.30</t>
    </r>
    <r>
      <rPr>
        <sz val="8"/>
        <color theme="0"/>
        <rFont val="Arial"/>
        <family val="2"/>
      </rPr>
      <t xml:space="preserve">
San Luis Potosi</t>
    </r>
  </si>
  <si>
    <t>BVIS3010</t>
  </si>
  <si>
    <t>02BVISFP</t>
  </si>
  <si>
    <t>BVIS8910</t>
  </si>
  <si>
    <t>PIKS_IVS</t>
  </si>
  <si>
    <t>BVIS0710</t>
  </si>
  <si>
    <t>BVIS0910</t>
  </si>
  <si>
    <t>BVIS7510</t>
  </si>
  <si>
    <t>TRANS Nr. consists of 3 digits, right aligned and filled with "0". The first left digit is for the number of the release on the same tact. (0,1,2,3,4,5)</t>
  </si>
  <si>
    <t xml:space="preserve">Adjustment source/destination in SPSWERTE telegram and Destination  naming for BVIS </t>
  </si>
  <si>
    <t xml:space="preserve">additional plants included (Dadong B.55 &amp; San Luis Potosi W30) </t>
  </si>
  <si>
    <t>Correction of SPSFRIGO to  SPSFRGIO</t>
  </si>
  <si>
    <t>Local / remote TSAP  musste vertauscht werden.</t>
  </si>
  <si>
    <t>Initial draft agreed and distributed</t>
  </si>
  <si>
    <t>2.0</t>
  </si>
  <si>
    <t>BMW Group</t>
  </si>
  <si>
    <r>
      <rPr>
        <b/>
        <sz val="10"/>
        <color theme="1"/>
        <rFont val="BMW Group Condensed"/>
        <family val="2"/>
      </rPr>
      <t>Unterlagenklasse / Class of documents :</t>
    </r>
    <r>
      <rPr>
        <sz val="10"/>
        <color theme="1"/>
        <rFont val="BMW Group Condensed"/>
        <family val="2"/>
      </rPr>
      <t xml:space="preserve"> 7.1</t>
    </r>
  </si>
  <si>
    <r>
      <rPr>
        <b/>
        <sz val="10"/>
        <color theme="1"/>
        <rFont val="BMW Group Condensed"/>
        <family val="2"/>
      </rPr>
      <t>Gültigkeitsbereich / Valid for:</t>
    </r>
    <r>
      <rPr>
        <sz val="10"/>
        <color theme="1"/>
        <rFont val="BMW Group Condensed"/>
        <family val="2"/>
      </rPr>
      <t xml:space="preserve"> Technologie Montage / technology final assembly</t>
    </r>
  </si>
  <si>
    <r>
      <rPr>
        <b/>
        <sz val="10"/>
        <color theme="1"/>
        <rFont val="BMW Group Condensed"/>
        <family val="2"/>
      </rPr>
      <t>Version / Revision:</t>
    </r>
    <r>
      <rPr>
        <sz val="10"/>
        <color theme="1"/>
        <rFont val="BMW Group Condensed"/>
        <family val="2"/>
      </rPr>
      <t xml:space="preserve"> 2.0              </t>
    </r>
  </si>
  <si>
    <r>
      <rPr>
        <b/>
        <sz val="10"/>
        <color theme="1"/>
        <rFont val="BMW Group Condensed"/>
        <family val="2"/>
      </rPr>
      <t>Status:</t>
    </r>
    <r>
      <rPr>
        <sz val="10"/>
        <color theme="1"/>
        <rFont val="BMW Group Condensed"/>
        <family val="2"/>
      </rPr>
      <t xml:space="preserve">
Valid</t>
    </r>
  </si>
  <si>
    <t>Beteiligte Personen/Fachstellen/Gremien :  
Involved persons/department/committees:</t>
  </si>
  <si>
    <t>Fachteam Steuerungstechnik</t>
  </si>
  <si>
    <t>Änderungshistorie / changes</t>
  </si>
  <si>
    <t>Version / Revision</t>
  </si>
  <si>
    <t>Bemerkung / Remarks</t>
  </si>
  <si>
    <t>Ersteller  / Written by
Kurzzeichen / Department
Datum / Date</t>
  </si>
  <si>
    <t>Prüfer / Validated by
Kurzzeichen / Department
Datum / Date</t>
  </si>
  <si>
    <t>Freigeber / Released on
Kurzzeichen / Department
Datum / Date</t>
  </si>
  <si>
    <t>Lenkungsinformationen eingefügt</t>
  </si>
  <si>
    <t>S. Brauner, TP-412, 17.08.2017</t>
  </si>
  <si>
    <t>D. Hammerschmidt, TP-471, 17.08.2017</t>
  </si>
  <si>
    <t>H. Schwenk, TP-461, 17.08.2017</t>
  </si>
  <si>
    <t>1.0</t>
  </si>
  <si>
    <r>
      <rPr>
        <b/>
        <sz val="10"/>
        <color theme="1"/>
        <rFont val="BMW Group Condensed"/>
        <family val="2"/>
      </rPr>
      <t>Nr.</t>
    </r>
    <r>
      <rPr>
        <sz val="10"/>
        <color theme="1"/>
        <rFont val="BMW Group Condensed"/>
        <family val="2"/>
      </rPr>
      <t>: E_10.04.1</t>
    </r>
  </si>
  <si>
    <t>Camilla Harnik, TP-440, 14.04.2014</t>
  </si>
  <si>
    <t>Wegerer, Alois, TR-413, 01.08.2014</t>
  </si>
  <si>
    <t>Camilla Harnik, TP-440, 09.06.2015</t>
  </si>
  <si>
    <t>Camilla Harnik, TP-440, 01.12.2015</t>
  </si>
  <si>
    <t>Camilla Harnik, TP-440, 30.03.2016</t>
  </si>
  <si>
    <t>1.1</t>
  </si>
  <si>
    <t>1.2</t>
  </si>
  <si>
    <t>1.3</t>
  </si>
  <si>
    <t>1.4</t>
  </si>
  <si>
    <t>BVIS3510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</si>
</sst>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6"/>
      <name val="Arial"/>
      <family val="2"/>
    </font>
    <font>
      <sz val="16"/>
      <name val="BMWType V2 Bold"/>
    </font>
    <font>
      <sz val="8"/>
      <name val="Arial"/>
      <family val="2"/>
    </font>
    <font>
      <b/>
      <sz val="8"/>
      <color theme="0"/>
      <name val="Arial"/>
      <family val="2"/>
    </font>
    <font>
      <b/>
      <sz val="10"/>
      <color theme="0"/>
      <name val="Arial"/>
      <family val="2"/>
    </font>
    <font>
      <sz val="8"/>
      <color theme="0"/>
      <name val="Arial"/>
      <family val="2"/>
    </font>
    <font>
      <sz val="14"/>
      <name val="BMWType V2 Bold"/>
    </font>
    <font>
      <b/>
      <sz val="10"/>
      <color theme="4"/>
      <name val="BMWType V2 Light"/>
    </font>
    <font>
      <b/>
      <sz val="12"/>
      <color theme="0"/>
      <name val="Arial"/>
      <family val="2"/>
    </font>
    <font>
      <b/>
      <sz val="11"/>
      <name val="Courier New"/>
      <family val="3"/>
    </font>
    <font>
      <sz val="11"/>
      <name val="Courier New"/>
      <family val="3"/>
    </font>
    <font>
      <sz val="9"/>
      <color theme="0"/>
      <name val="Arial"/>
      <family val="2"/>
    </font>
    <font>
      <sz val="8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BMW Group Condensed"/>
      <family val="2"/>
    </font>
    <font>
      <sz val="10"/>
      <color theme="1"/>
      <name val="BMW Group Condensed"/>
      <family val="2"/>
    </font>
    <font>
      <b/>
      <sz val="12"/>
      <color theme="1"/>
      <name val="BMW Group Condensed"/>
      <family val="2"/>
    </font>
    <font>
      <b/>
      <sz val="12"/>
      <color rgb="FF000000"/>
      <name val="BMW Group Condensed"/>
      <family val="2"/>
    </font>
    <font>
      <sz val="10"/>
      <color rgb="FF000000"/>
      <name val="BMW Group Condensed"/>
      <family val="2"/>
    </font>
    <font>
      <sz val="9"/>
      <color theme="1"/>
      <name val="BMW Group Condensed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22"/>
      </top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medium">
        <color indexed="64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/>
      <top style="medium">
        <color indexed="22"/>
      </top>
      <bottom/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</borders>
  <cellStyleXfs count="7">
    <xf numFmtId="0" fontId="0" fillId="0" borderId="0"/>
    <xf numFmtId="0" fontId="3" fillId="0" borderId="0"/>
    <xf numFmtId="0" fontId="4" fillId="0" borderId="0"/>
    <xf numFmtId="0" fontId="2" fillId="0" borderId="0"/>
    <xf numFmtId="0" fontId="4" fillId="0" borderId="0"/>
    <xf numFmtId="0" fontId="21" fillId="0" borderId="0"/>
    <xf numFmtId="0" fontId="1" fillId="0" borderId="0"/>
  </cellStyleXfs>
  <cellXfs count="178">
    <xf numFmtId="0" fontId="0" fillId="0" borderId="0" xfId="0"/>
    <xf numFmtId="0" fontId="7" fillId="2" borderId="10" xfId="0" applyFont="1" applyFill="1" applyBorder="1" applyAlignment="1">
      <alignment horizontal="center" vertical="center" wrapText="1"/>
    </xf>
    <xf numFmtId="0" fontId="7" fillId="2" borderId="11" xfId="0" applyFont="1" applyFill="1" applyBorder="1" applyAlignment="1">
      <alignment horizontal="center" vertical="center" wrapText="1"/>
    </xf>
    <xf numFmtId="0" fontId="7" fillId="2" borderId="12" xfId="0" applyFont="1" applyFill="1" applyBorder="1" applyAlignment="1">
      <alignment horizontal="center" vertical="center" wrapText="1"/>
    </xf>
    <xf numFmtId="0" fontId="0" fillId="0" borderId="0" xfId="0"/>
    <xf numFmtId="0" fontId="4" fillId="0" borderId="0" xfId="0" applyFont="1"/>
    <xf numFmtId="0" fontId="0" fillId="0" borderId="0" xfId="0" applyFill="1"/>
    <xf numFmtId="0" fontId="8" fillId="0" borderId="0" xfId="0" applyFont="1" applyAlignment="1"/>
    <xf numFmtId="0" fontId="9" fillId="0" borderId="0" xfId="0" applyFont="1" applyAlignment="1">
      <alignment vertical="top"/>
    </xf>
    <xf numFmtId="0" fontId="0" fillId="5" borderId="0" xfId="0" applyFill="1"/>
    <xf numFmtId="0" fontId="4" fillId="4" borderId="0" xfId="0" applyFont="1" applyFill="1" applyBorder="1"/>
    <xf numFmtId="0" fontId="4" fillId="0" borderId="0" xfId="0" applyFont="1" applyFill="1"/>
    <xf numFmtId="0" fontId="0" fillId="3" borderId="0" xfId="0" applyFill="1"/>
    <xf numFmtId="0" fontId="4" fillId="3" borderId="19" xfId="0" applyFont="1" applyFill="1" applyBorder="1"/>
    <xf numFmtId="0" fontId="0" fillId="3" borderId="19" xfId="0" applyFill="1" applyBorder="1" applyAlignment="1">
      <alignment horizontal="left"/>
    </xf>
    <xf numFmtId="0" fontId="0" fillId="3" borderId="0" xfId="0" applyFill="1" applyAlignment="1">
      <alignment horizontal="center"/>
    </xf>
    <xf numFmtId="0" fontId="7" fillId="0" borderId="0" xfId="0" applyFont="1" applyFill="1"/>
    <xf numFmtId="0" fontId="4" fillId="3" borderId="0" xfId="0" applyFont="1" applyFill="1" applyAlignment="1">
      <alignment horizontal="left"/>
    </xf>
    <xf numFmtId="0" fontId="4" fillId="3" borderId="0" xfId="0" applyFont="1" applyFill="1"/>
    <xf numFmtId="0" fontId="4" fillId="3" borderId="19" xfId="0" applyFont="1" applyFill="1" applyBorder="1" applyAlignment="1"/>
    <xf numFmtId="0" fontId="5" fillId="3" borderId="19" xfId="0" applyFont="1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0" fillId="4" borderId="23" xfId="0" applyFill="1" applyBorder="1"/>
    <xf numFmtId="0" fontId="0" fillId="4" borderId="0" xfId="0" applyFill="1" applyBorder="1"/>
    <xf numFmtId="0" fontId="0" fillId="4" borderId="24" xfId="0" applyFill="1" applyBorder="1"/>
    <xf numFmtId="0" fontId="5" fillId="4" borderId="0" xfId="0" applyFont="1" applyFill="1" applyBorder="1"/>
    <xf numFmtId="0" fontId="0" fillId="4" borderId="25" xfId="0" applyFill="1" applyBorder="1"/>
    <xf numFmtId="0" fontId="0" fillId="4" borderId="26" xfId="0" applyFill="1" applyBorder="1"/>
    <xf numFmtId="0" fontId="0" fillId="4" borderId="27" xfId="0" applyFill="1" applyBorder="1"/>
    <xf numFmtId="49" fontId="6" fillId="6" borderId="1" xfId="0" applyNumberFormat="1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49" fontId="6" fillId="6" borderId="3" xfId="0" applyNumberFormat="1" applyFont="1" applyFill="1" applyBorder="1" applyAlignment="1">
      <alignment horizontal="center" vertical="center"/>
    </xf>
    <xf numFmtId="0" fontId="6" fillId="6" borderId="4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right" vertical="center"/>
    </xf>
    <xf numFmtId="49" fontId="4" fillId="6" borderId="6" xfId="0" applyNumberFormat="1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vertical="center" wrapText="1"/>
    </xf>
    <xf numFmtId="0" fontId="4" fillId="6" borderId="3" xfId="0" applyFont="1" applyFill="1" applyBorder="1" applyAlignment="1">
      <alignment horizontal="right" vertical="center"/>
    </xf>
    <xf numFmtId="0" fontId="4" fillId="6" borderId="15" xfId="0" applyFont="1" applyFill="1" applyBorder="1" applyAlignment="1">
      <alignment vertical="center" wrapText="1"/>
    </xf>
    <xf numFmtId="49" fontId="4" fillId="6" borderId="6" xfId="0" applyNumberFormat="1" applyFont="1" applyFill="1" applyBorder="1" applyAlignment="1">
      <alignment horizontal="center" vertical="center"/>
    </xf>
    <xf numFmtId="49" fontId="4" fillId="6" borderId="3" xfId="0" applyNumberFormat="1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right" vertical="center"/>
    </xf>
    <xf numFmtId="49" fontId="4" fillId="0" borderId="8" xfId="0" applyNumberFormat="1" applyFont="1" applyFill="1" applyBorder="1" applyAlignment="1">
      <alignment horizontal="right" vertical="center"/>
    </xf>
    <xf numFmtId="49" fontId="4" fillId="0" borderId="14" xfId="0" applyNumberFormat="1" applyFont="1" applyFill="1" applyBorder="1" applyAlignment="1">
      <alignment vertical="center" wrapText="1"/>
    </xf>
    <xf numFmtId="0" fontId="4" fillId="4" borderId="26" xfId="0" applyFont="1" applyFill="1" applyBorder="1"/>
    <xf numFmtId="0" fontId="4" fillId="0" borderId="0" xfId="0" applyFont="1" applyAlignment="1">
      <alignment horizontal="left" wrapText="1"/>
    </xf>
    <xf numFmtId="49" fontId="4" fillId="6" borderId="28" xfId="0" applyNumberFormat="1" applyFont="1" applyFill="1" applyBorder="1" applyAlignment="1">
      <alignment horizontal="center" vertical="center"/>
    </xf>
    <xf numFmtId="0" fontId="6" fillId="6" borderId="29" xfId="0" applyFont="1" applyFill="1" applyBorder="1" applyAlignment="1">
      <alignment horizontal="center" vertical="center"/>
    </xf>
    <xf numFmtId="0" fontId="4" fillId="6" borderId="30" xfId="0" applyFont="1" applyFill="1" applyBorder="1" applyAlignment="1">
      <alignment horizontal="right" vertical="center"/>
    </xf>
    <xf numFmtId="49" fontId="4" fillId="6" borderId="31" xfId="0" applyNumberFormat="1" applyFont="1" applyFill="1" applyBorder="1" applyAlignment="1">
      <alignment horizontal="right" vertical="center"/>
    </xf>
    <xf numFmtId="0" fontId="5" fillId="0" borderId="0" xfId="0" applyFont="1"/>
    <xf numFmtId="0" fontId="4" fillId="0" borderId="19" xfId="0" applyFont="1" applyBorder="1"/>
    <xf numFmtId="0" fontId="0" fillId="0" borderId="0" xfId="0" applyBorder="1"/>
    <xf numFmtId="0" fontId="0" fillId="0" borderId="0" xfId="0" applyBorder="1" applyAlignment="1">
      <alignment horizontal="left"/>
    </xf>
    <xf numFmtId="0" fontId="5" fillId="0" borderId="19" xfId="0" applyFont="1" applyBorder="1" applyAlignment="1">
      <alignment horizontal="left"/>
    </xf>
    <xf numFmtId="0" fontId="4" fillId="0" borderId="19" xfId="0" applyFont="1" applyBorder="1" applyAlignment="1">
      <alignment horizontal="left"/>
    </xf>
    <xf numFmtId="0" fontId="4" fillId="0" borderId="19" xfId="0" applyFont="1" applyFill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ont="1" applyFill="1" applyBorder="1" applyAlignment="1">
      <alignment horizontal="left"/>
    </xf>
    <xf numFmtId="0" fontId="5" fillId="6" borderId="19" xfId="0" applyFont="1" applyFill="1" applyBorder="1" applyAlignment="1">
      <alignment horizontal="left"/>
    </xf>
    <xf numFmtId="0" fontId="4" fillId="6" borderId="19" xfId="0" quotePrefix="1" applyFont="1" applyFill="1" applyBorder="1"/>
    <xf numFmtId="0" fontId="0" fillId="7" borderId="21" xfId="0" applyFill="1" applyBorder="1"/>
    <xf numFmtId="0" fontId="0" fillId="7" borderId="23" xfId="0" applyFill="1" applyBorder="1"/>
    <xf numFmtId="0" fontId="0" fillId="7" borderId="0" xfId="0" applyFill="1" applyBorder="1"/>
    <xf numFmtId="0" fontId="5" fillId="7" borderId="0" xfId="0" applyFont="1" applyFill="1" applyBorder="1" applyAlignment="1">
      <alignment vertical="center"/>
    </xf>
    <xf numFmtId="0" fontId="10" fillId="7" borderId="0" xfId="0" applyFont="1" applyFill="1" applyBorder="1"/>
    <xf numFmtId="0" fontId="11" fillId="8" borderId="19" xfId="0" applyFont="1" applyFill="1" applyBorder="1" applyAlignment="1">
      <alignment wrapText="1"/>
    </xf>
    <xf numFmtId="0" fontId="13" fillId="8" borderId="19" xfId="0" applyFont="1" applyFill="1" applyBorder="1" applyAlignment="1">
      <alignment wrapText="1"/>
    </xf>
    <xf numFmtId="0" fontId="0" fillId="7" borderId="25" xfId="0" applyFill="1" applyBorder="1"/>
    <xf numFmtId="0" fontId="0" fillId="7" borderId="26" xfId="0" applyFill="1" applyBorder="1"/>
    <xf numFmtId="0" fontId="4" fillId="7" borderId="0" xfId="0" applyFont="1" applyFill="1" applyBorder="1" applyAlignment="1">
      <alignment horizontal="left" vertical="center" wrapText="1"/>
    </xf>
    <xf numFmtId="0" fontId="5" fillId="7" borderId="20" xfId="0" applyFont="1" applyFill="1" applyBorder="1"/>
    <xf numFmtId="0" fontId="0" fillId="7" borderId="22" xfId="0" applyFill="1" applyBorder="1"/>
    <xf numFmtId="0" fontId="0" fillId="7" borderId="24" xfId="0" applyFill="1" applyBorder="1"/>
    <xf numFmtId="0" fontId="0" fillId="7" borderId="27" xfId="0" applyFill="1" applyBorder="1"/>
    <xf numFmtId="0" fontId="15" fillId="0" borderId="0" xfId="0" applyFont="1" applyAlignment="1">
      <alignment vertical="top"/>
    </xf>
    <xf numFmtId="0" fontId="16" fillId="8" borderId="19" xfId="0" applyFont="1" applyFill="1" applyBorder="1" applyAlignment="1">
      <alignment horizontal="center"/>
    </xf>
    <xf numFmtId="0" fontId="4" fillId="0" borderId="0" xfId="0" applyFont="1" applyAlignment="1">
      <alignment horizontal="left" wrapText="1"/>
    </xf>
    <xf numFmtId="0" fontId="0" fillId="0" borderId="19" xfId="0" applyBorder="1"/>
    <xf numFmtId="49" fontId="4" fillId="0" borderId="19" xfId="0" applyNumberFormat="1" applyFont="1" applyBorder="1"/>
    <xf numFmtId="0" fontId="5" fillId="4" borderId="19" xfId="0" applyFont="1" applyFill="1" applyBorder="1"/>
    <xf numFmtId="0" fontId="4" fillId="0" borderId="0" xfId="0" applyFont="1" applyAlignment="1">
      <alignment horizontal="left"/>
    </xf>
    <xf numFmtId="0" fontId="4" fillId="0" borderId="0" xfId="0" applyFont="1" applyAlignment="1"/>
    <xf numFmtId="0" fontId="10" fillId="9" borderId="19" xfId="0" applyFont="1" applyFill="1" applyBorder="1" applyAlignment="1">
      <alignment vertical="center"/>
    </xf>
    <xf numFmtId="0" fontId="10" fillId="9" borderId="19" xfId="0" applyFont="1" applyFill="1" applyBorder="1" applyAlignment="1">
      <alignment vertical="center" wrapText="1"/>
    </xf>
    <xf numFmtId="0" fontId="4" fillId="4" borderId="21" xfId="0" applyFont="1" applyFill="1" applyBorder="1"/>
    <xf numFmtId="0" fontId="0" fillId="7" borderId="20" xfId="0" applyFill="1" applyBorder="1"/>
    <xf numFmtId="0" fontId="5" fillId="7" borderId="21" xfId="0" applyFont="1" applyFill="1" applyBorder="1"/>
    <xf numFmtId="0" fontId="0" fillId="7" borderId="0" xfId="0" applyFill="1" applyBorder="1" applyAlignment="1">
      <alignment horizontal="left" vertical="top"/>
    </xf>
    <xf numFmtId="49" fontId="4" fillId="0" borderId="19" xfId="0" applyNumberFormat="1" applyFont="1" applyBorder="1" applyAlignment="1"/>
    <xf numFmtId="0" fontId="0" fillId="0" borderId="19" xfId="0" applyBorder="1" applyAlignment="1"/>
    <xf numFmtId="0" fontId="0" fillId="0" borderId="0" xfId="0" applyAlignment="1"/>
    <xf numFmtId="0" fontId="0" fillId="7" borderId="23" xfId="0" applyFill="1" applyBorder="1" applyAlignment="1"/>
    <xf numFmtId="0" fontId="0" fillId="7" borderId="0" xfId="0" applyFill="1" applyBorder="1" applyAlignment="1">
      <alignment vertical="top"/>
    </xf>
    <xf numFmtId="0" fontId="0" fillId="7" borderId="24" xfId="0" applyFill="1" applyBorder="1" applyAlignment="1"/>
    <xf numFmtId="0" fontId="4" fillId="4" borderId="0" xfId="0" applyFont="1" applyFill="1" applyBorder="1" applyAlignment="1">
      <alignment vertical="top"/>
    </xf>
    <xf numFmtId="0" fontId="0" fillId="4" borderId="0" xfId="0" applyFill="1" applyBorder="1" applyAlignment="1">
      <alignment vertical="top"/>
    </xf>
    <xf numFmtId="0" fontId="4" fillId="6" borderId="15" xfId="0" applyFont="1" applyFill="1" applyBorder="1" applyAlignment="1">
      <alignment horizontal="left" vertical="top" wrapText="1"/>
    </xf>
    <xf numFmtId="0" fontId="17" fillId="6" borderId="6" xfId="0" applyNumberFormat="1" applyFont="1" applyFill="1" applyBorder="1" applyAlignment="1">
      <alignment horizontal="right" vertical="center"/>
    </xf>
    <xf numFmtId="49" fontId="18" fillId="6" borderId="6" xfId="0" applyNumberFormat="1" applyFont="1" applyFill="1" applyBorder="1" applyAlignment="1">
      <alignment horizontal="right" vertical="center"/>
    </xf>
    <xf numFmtId="49" fontId="18" fillId="6" borderId="6" xfId="0" applyNumberFormat="1" applyFont="1" applyFill="1" applyBorder="1" applyAlignment="1">
      <alignment horizontal="right" vertical="center" wrapText="1"/>
    </xf>
    <xf numFmtId="49" fontId="18" fillId="0" borderId="8" xfId="0" applyNumberFormat="1" applyFont="1" applyFill="1" applyBorder="1" applyAlignment="1">
      <alignment horizontal="right" vertical="center"/>
    </xf>
    <xf numFmtId="49" fontId="18" fillId="6" borderId="31" xfId="0" applyNumberFormat="1" applyFont="1" applyFill="1" applyBorder="1" applyAlignment="1">
      <alignment horizontal="right" vertical="center"/>
    </xf>
    <xf numFmtId="0" fontId="4" fillId="4" borderId="26" xfId="0" applyFont="1" applyFill="1" applyBorder="1" applyAlignment="1">
      <alignment wrapText="1"/>
    </xf>
    <xf numFmtId="0" fontId="5" fillId="7" borderId="0" xfId="0" applyFont="1" applyFill="1" applyBorder="1"/>
    <xf numFmtId="0" fontId="5" fillId="7" borderId="0" xfId="0" applyFont="1" applyFill="1" applyBorder="1" applyAlignment="1">
      <alignment vertical="top"/>
    </xf>
    <xf numFmtId="0" fontId="4" fillId="7" borderId="0" xfId="0" applyFont="1" applyFill="1" applyBorder="1" applyAlignment="1">
      <alignment horizontal="left" vertical="center" wrapText="1"/>
    </xf>
    <xf numFmtId="0" fontId="0" fillId="7" borderId="0" xfId="0" applyFill="1" applyBorder="1" applyAlignment="1"/>
    <xf numFmtId="0" fontId="19" fillId="8" borderId="19" xfId="0" applyFont="1" applyFill="1" applyBorder="1" applyAlignment="1">
      <alignment wrapText="1"/>
    </xf>
    <xf numFmtId="0" fontId="10" fillId="9" borderId="19" xfId="0" applyFont="1" applyFill="1" applyBorder="1" applyAlignment="1">
      <alignment horizontal="center" vertical="center"/>
    </xf>
    <xf numFmtId="0" fontId="20" fillId="9" borderId="19" xfId="0" applyFont="1" applyFill="1" applyBorder="1" applyAlignment="1">
      <alignment vertical="center"/>
    </xf>
    <xf numFmtId="0" fontId="23" fillId="0" borderId="19" xfId="6" applyFont="1" applyBorder="1" applyAlignment="1">
      <alignment vertical="top" wrapText="1"/>
    </xf>
    <xf numFmtId="0" fontId="1" fillId="0" borderId="0" xfId="6" applyBorder="1"/>
    <xf numFmtId="0" fontId="1" fillId="0" borderId="0" xfId="6"/>
    <xf numFmtId="0" fontId="26" fillId="0" borderId="19" xfId="6" applyFont="1" applyBorder="1" applyAlignment="1">
      <alignment horizontal="left" vertical="center" wrapText="1" readingOrder="1"/>
    </xf>
    <xf numFmtId="0" fontId="22" fillId="10" borderId="19" xfId="6" applyFont="1" applyFill="1" applyBorder="1" applyAlignment="1">
      <alignment wrapText="1"/>
    </xf>
    <xf numFmtId="0" fontId="22" fillId="10" borderId="19" xfId="6" applyFont="1" applyFill="1" applyBorder="1"/>
    <xf numFmtId="0" fontId="27" fillId="0" borderId="19" xfId="6" applyFont="1" applyBorder="1" applyAlignment="1">
      <alignment vertical="top" wrapText="1"/>
    </xf>
    <xf numFmtId="0" fontId="27" fillId="0" borderId="19" xfId="6" applyFont="1" applyBorder="1" applyAlignment="1">
      <alignment wrapText="1"/>
    </xf>
    <xf numFmtId="0" fontId="1" fillId="0" borderId="0" xfId="6" applyAlignment="1">
      <alignment wrapText="1"/>
    </xf>
    <xf numFmtId="49" fontId="27" fillId="0" borderId="19" xfId="6" applyNumberFormat="1" applyFont="1" applyBorder="1" applyAlignment="1">
      <alignment vertical="top"/>
    </xf>
    <xf numFmtId="49" fontId="27" fillId="0" borderId="19" xfId="6" applyNumberFormat="1" applyFont="1" applyBorder="1"/>
    <xf numFmtId="0" fontId="14" fillId="0" borderId="0" xfId="0" applyFont="1" applyAlignment="1">
      <alignment horizontal="left" vertical="center" wrapText="1"/>
    </xf>
    <xf numFmtId="0" fontId="4" fillId="7" borderId="23" xfId="0" applyFont="1" applyFill="1" applyBorder="1" applyAlignment="1">
      <alignment horizontal="left" vertical="center" wrapText="1"/>
    </xf>
    <xf numFmtId="0" fontId="4" fillId="7" borderId="0" xfId="0" applyFont="1" applyFill="1" applyBorder="1" applyAlignment="1">
      <alignment horizontal="left" vertical="center" wrapText="1"/>
    </xf>
    <xf numFmtId="0" fontId="7" fillId="3" borderId="16" xfId="0" applyFont="1" applyFill="1" applyBorder="1" applyAlignment="1">
      <alignment horizontal="center"/>
    </xf>
    <xf numFmtId="0" fontId="7" fillId="3" borderId="18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/>
    </xf>
    <xf numFmtId="0" fontId="16" fillId="8" borderId="18" xfId="0" applyFont="1" applyFill="1" applyBorder="1" applyAlignment="1">
      <alignment horizontal="center"/>
    </xf>
    <xf numFmtId="0" fontId="4" fillId="3" borderId="16" xfId="0" applyFont="1" applyFill="1" applyBorder="1" applyAlignment="1"/>
    <xf numFmtId="0" fontId="0" fillId="3" borderId="18" xfId="0" applyFill="1" applyBorder="1" applyAlignment="1"/>
    <xf numFmtId="0" fontId="4" fillId="3" borderId="16" xfId="0" applyFont="1" applyFill="1" applyBorder="1" applyAlignment="1">
      <alignment horizontal="left" wrapText="1"/>
    </xf>
    <xf numFmtId="0" fontId="0" fillId="3" borderId="17" xfId="0" applyFill="1" applyBorder="1" applyAlignment="1">
      <alignment horizontal="left" wrapText="1"/>
    </xf>
    <xf numFmtId="0" fontId="0" fillId="3" borderId="18" xfId="0" applyFill="1" applyBorder="1" applyAlignment="1">
      <alignment horizontal="left" wrapText="1"/>
    </xf>
    <xf numFmtId="14" fontId="0" fillId="3" borderId="16" xfId="0" applyNumberFormat="1" applyFill="1" applyBorder="1" applyAlignment="1">
      <alignment horizontal="left"/>
    </xf>
    <xf numFmtId="14" fontId="0" fillId="3" borderId="18" xfId="0" applyNumberFormat="1" applyFill="1" applyBorder="1" applyAlignment="1">
      <alignment horizontal="left"/>
    </xf>
    <xf numFmtId="0" fontId="4" fillId="3" borderId="16" xfId="0" applyFont="1" applyFill="1" applyBorder="1" applyAlignment="1">
      <alignment wrapText="1"/>
    </xf>
    <xf numFmtId="0" fontId="0" fillId="3" borderId="17" xfId="0" applyFill="1" applyBorder="1" applyAlignment="1">
      <alignment wrapText="1"/>
    </xf>
    <xf numFmtId="0" fontId="0" fillId="3" borderId="18" xfId="0" applyFill="1" applyBorder="1" applyAlignment="1">
      <alignment wrapText="1"/>
    </xf>
    <xf numFmtId="0" fontId="0" fillId="3" borderId="17" xfId="0" applyFill="1" applyBorder="1" applyAlignment="1"/>
    <xf numFmtId="0" fontId="4" fillId="7" borderId="0" xfId="0" applyFont="1" applyFill="1" applyBorder="1" applyAlignment="1">
      <alignment horizontal="left" vertical="top" wrapText="1"/>
    </xf>
    <xf numFmtId="0" fontId="4" fillId="4" borderId="21" xfId="0" applyFont="1" applyFill="1" applyBorder="1" applyAlignment="1">
      <alignment horizontal="left"/>
    </xf>
    <xf numFmtId="0" fontId="4" fillId="3" borderId="16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18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left"/>
    </xf>
    <xf numFmtId="0" fontId="5" fillId="3" borderId="18" xfId="0" applyFont="1" applyFill="1" applyBorder="1" applyAlignment="1">
      <alignment horizontal="left"/>
    </xf>
    <xf numFmtId="0" fontId="4" fillId="3" borderId="16" xfId="0" applyFont="1" applyFill="1" applyBorder="1" applyAlignment="1">
      <alignment horizontal="left"/>
    </xf>
    <xf numFmtId="0" fontId="4" fillId="3" borderId="18" xfId="0" applyFont="1" applyFill="1" applyBorder="1" applyAlignment="1">
      <alignment horizontal="left"/>
    </xf>
    <xf numFmtId="0" fontId="4" fillId="3" borderId="16" xfId="0" applyFont="1" applyFill="1" applyBorder="1" applyAlignment="1">
      <alignment horizontal="left" vertical="top" wrapText="1"/>
    </xf>
    <xf numFmtId="0" fontId="0" fillId="3" borderId="17" xfId="0" applyFill="1" applyBorder="1" applyAlignment="1">
      <alignment horizontal="left" vertical="top"/>
    </xf>
    <xf numFmtId="0" fontId="0" fillId="3" borderId="18" xfId="0" applyFill="1" applyBorder="1" applyAlignment="1">
      <alignment horizontal="left" vertical="top"/>
    </xf>
    <xf numFmtId="0" fontId="5" fillId="3" borderId="17" xfId="0" applyFont="1" applyFill="1" applyBorder="1" applyAlignment="1">
      <alignment horizontal="left"/>
    </xf>
    <xf numFmtId="0" fontId="4" fillId="3" borderId="17" xfId="0" applyFont="1" applyFill="1" applyBorder="1" applyAlignment="1">
      <alignment horizontal="left"/>
    </xf>
    <xf numFmtId="0" fontId="4" fillId="0" borderId="19" xfId="0" applyFont="1" applyBorder="1" applyAlignment="1">
      <alignment horizontal="center"/>
    </xf>
    <xf numFmtId="0" fontId="5" fillId="4" borderId="19" xfId="0" applyFont="1" applyFill="1" applyBorder="1" applyAlignment="1">
      <alignment horizontal="left"/>
    </xf>
    <xf numFmtId="0" fontId="5" fillId="4" borderId="19" xfId="0" applyFont="1" applyFill="1" applyBorder="1" applyAlignment="1">
      <alignment horizontal="center"/>
    </xf>
    <xf numFmtId="0" fontId="4" fillId="0" borderId="19" xfId="0" applyFont="1" applyBorder="1" applyAlignment="1">
      <alignment horizontal="left"/>
    </xf>
    <xf numFmtId="0" fontId="4" fillId="0" borderId="19" xfId="0" applyFont="1" applyBorder="1" applyAlignment="1"/>
    <xf numFmtId="0" fontId="0" fillId="0" borderId="19" xfId="0" applyBorder="1" applyAlignment="1">
      <alignment horizontal="center"/>
    </xf>
    <xf numFmtId="14" fontId="7" fillId="0" borderId="32" xfId="0" applyNumberFormat="1" applyFont="1" applyFill="1" applyBorder="1" applyAlignment="1">
      <alignment horizontal="center"/>
    </xf>
    <xf numFmtId="14" fontId="7" fillId="0" borderId="33" xfId="0" applyNumberFormat="1" applyFont="1" applyFill="1" applyBorder="1" applyAlignment="1">
      <alignment horizontal="center"/>
    </xf>
    <xf numFmtId="14" fontId="7" fillId="0" borderId="34" xfId="0" applyNumberFormat="1" applyFont="1" applyFill="1" applyBorder="1" applyAlignment="1">
      <alignment horizontal="center"/>
    </xf>
    <xf numFmtId="0" fontId="4" fillId="7" borderId="0" xfId="0" applyFont="1" applyFill="1" applyBorder="1" applyAlignment="1">
      <alignment vertical="top" wrapText="1"/>
    </xf>
    <xf numFmtId="0" fontId="0" fillId="0" borderId="19" xfId="0" applyBorder="1" applyAlignment="1"/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left" wrapText="1"/>
    </xf>
    <xf numFmtId="0" fontId="22" fillId="0" borderId="19" xfId="6" applyFont="1" applyFill="1" applyBorder="1" applyAlignment="1">
      <alignment horizontal="center" vertical="center" wrapText="1"/>
    </xf>
    <xf numFmtId="0" fontId="23" fillId="0" borderId="19" xfId="6" applyFont="1" applyBorder="1" applyAlignment="1">
      <alignment horizontal="center"/>
    </xf>
    <xf numFmtId="0" fontId="22" fillId="10" borderId="19" xfId="6" applyFont="1" applyFill="1" applyBorder="1" applyAlignment="1">
      <alignment horizontal="left"/>
    </xf>
    <xf numFmtId="0" fontId="22" fillId="10" borderId="19" xfId="6" applyFont="1" applyFill="1" applyBorder="1" applyAlignment="1">
      <alignment horizontal="center" vertical="center" wrapText="1"/>
    </xf>
    <xf numFmtId="0" fontId="23" fillId="0" borderId="19" xfId="6" applyFont="1" applyBorder="1" applyAlignment="1">
      <alignment horizontal="left" vertical="top" wrapText="1"/>
    </xf>
    <xf numFmtId="0" fontId="24" fillId="0" borderId="19" xfId="6" applyFont="1" applyBorder="1" applyAlignment="1">
      <alignment horizontal="left" vertical="top" wrapText="1"/>
    </xf>
    <xf numFmtId="0" fontId="25" fillId="0" borderId="19" xfId="6" applyFont="1" applyBorder="1" applyAlignment="1">
      <alignment horizontal="right" vertical="center" wrapText="1" readingOrder="1"/>
    </xf>
  </cellXfs>
  <cellStyles count="7">
    <cellStyle name="Normal 2" xfId="4"/>
    <cellStyle name="Standard" xfId="0" builtinId="0"/>
    <cellStyle name="Standard 2" xfId="1"/>
    <cellStyle name="Standard 2 2" xfId="3"/>
    <cellStyle name="Standard 2 2 2" xfId="6"/>
    <cellStyle name="Standard 3" xfId="2"/>
    <cellStyle name="Standard 4" xfId="5"/>
  </cellStyles>
  <dxfs count="0"/>
  <tableStyles count="0" defaultTableStyle="TableStyleMedium9" defaultPivotStyle="PivotStyleLight16"/>
  <colors>
    <mruColors>
      <color rgb="FFA8CAF4"/>
      <color rgb="FFFFCC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63</xdr:row>
      <xdr:rowOff>171450</xdr:rowOff>
    </xdr:from>
    <xdr:to>
      <xdr:col>2</xdr:col>
      <xdr:colOff>66675</xdr:colOff>
      <xdr:row>64</xdr:row>
      <xdr:rowOff>171450</xdr:rowOff>
    </xdr:to>
    <xdr:sp macro="" textlink="">
      <xdr:nvSpPr>
        <xdr:cNvPr id="90" name="Rechteck 89"/>
        <xdr:cNvSpPr/>
      </xdr:nvSpPr>
      <xdr:spPr>
        <a:xfrm>
          <a:off x="514350" y="10801350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466725</xdr:colOff>
      <xdr:row>63</xdr:row>
      <xdr:rowOff>161925</xdr:rowOff>
    </xdr:from>
    <xdr:to>
      <xdr:col>5</xdr:col>
      <xdr:colOff>304800</xdr:colOff>
      <xdr:row>64</xdr:row>
      <xdr:rowOff>161925</xdr:rowOff>
    </xdr:to>
    <xdr:sp macro="" textlink="">
      <xdr:nvSpPr>
        <xdr:cNvPr id="91" name="Rechteck 90"/>
        <xdr:cNvSpPr/>
      </xdr:nvSpPr>
      <xdr:spPr>
        <a:xfrm>
          <a:off x="2257425" y="10791825"/>
          <a:ext cx="581025" cy="247650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BVIS</a:t>
          </a:r>
        </a:p>
      </xdr:txBody>
    </xdr:sp>
    <xdr:clientData/>
  </xdr:twoCellAnchor>
  <xdr:twoCellAnchor>
    <xdr:from>
      <xdr:col>2</xdr:col>
      <xdr:colOff>236764</xdr:colOff>
      <xdr:row>63</xdr:row>
      <xdr:rowOff>7685</xdr:rowOff>
    </xdr:from>
    <xdr:to>
      <xdr:col>3</xdr:col>
      <xdr:colOff>265339</xdr:colOff>
      <xdr:row>64</xdr:row>
      <xdr:rowOff>3762</xdr:rowOff>
    </xdr:to>
    <xdr:sp macro="" textlink="">
      <xdr:nvSpPr>
        <xdr:cNvPr id="92" name="Rechteck 91"/>
        <xdr:cNvSpPr/>
      </xdr:nvSpPr>
      <xdr:spPr>
        <a:xfrm>
          <a:off x="1267705" y="9510273"/>
          <a:ext cx="790575" cy="24260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000">
              <a:solidFill>
                <a:schemeClr val="tx1"/>
              </a:solidFill>
            </a:rPr>
            <a:t>SPSDATEN</a:t>
          </a:r>
        </a:p>
      </xdr:txBody>
    </xdr:sp>
    <xdr:clientData/>
  </xdr:twoCellAnchor>
  <xdr:twoCellAnchor>
    <xdr:from>
      <xdr:col>2</xdr:col>
      <xdr:colOff>104775</xdr:colOff>
      <xdr:row>64</xdr:row>
      <xdr:rowOff>54850</xdr:rowOff>
    </xdr:from>
    <xdr:to>
      <xdr:col>3</xdr:col>
      <xdr:colOff>428625</xdr:colOff>
      <xdr:row>64</xdr:row>
      <xdr:rowOff>54850</xdr:rowOff>
    </xdr:to>
    <xdr:cxnSp macro="">
      <xdr:nvCxnSpPr>
        <xdr:cNvPr id="96" name="Gerade Verbindung mit Pfeil 95"/>
        <xdr:cNvCxnSpPr/>
      </xdr:nvCxnSpPr>
      <xdr:spPr>
        <a:xfrm flipH="1">
          <a:off x="1135716" y="9803968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265235</xdr:colOff>
      <xdr:row>67</xdr:row>
      <xdr:rowOff>246186</xdr:rowOff>
    </xdr:from>
    <xdr:to>
      <xdr:col>2</xdr:col>
      <xdr:colOff>84260</xdr:colOff>
      <xdr:row>68</xdr:row>
      <xdr:rowOff>246185</xdr:rowOff>
    </xdr:to>
    <xdr:sp macro="" textlink="">
      <xdr:nvSpPr>
        <xdr:cNvPr id="97" name="Rechteck 96"/>
        <xdr:cNvSpPr/>
      </xdr:nvSpPr>
      <xdr:spPr>
        <a:xfrm>
          <a:off x="529004" y="11749455"/>
          <a:ext cx="581025" cy="24911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484310</xdr:colOff>
      <xdr:row>67</xdr:row>
      <xdr:rowOff>236661</xdr:rowOff>
    </xdr:from>
    <xdr:to>
      <xdr:col>5</xdr:col>
      <xdr:colOff>322385</xdr:colOff>
      <xdr:row>68</xdr:row>
      <xdr:rowOff>236660</xdr:rowOff>
    </xdr:to>
    <xdr:sp macro="" textlink="">
      <xdr:nvSpPr>
        <xdr:cNvPr id="98" name="Rechteck 97"/>
        <xdr:cNvSpPr/>
      </xdr:nvSpPr>
      <xdr:spPr>
        <a:xfrm>
          <a:off x="2272079" y="11739930"/>
          <a:ext cx="585421" cy="24911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BVIS</a:t>
          </a:r>
          <a:endParaRPr lang="de-DE"/>
        </a:p>
      </xdr:txBody>
    </xdr:sp>
    <xdr:clientData/>
  </xdr:twoCellAnchor>
  <xdr:twoCellAnchor>
    <xdr:from>
      <xdr:col>2</xdr:col>
      <xdr:colOff>254349</xdr:colOff>
      <xdr:row>67</xdr:row>
      <xdr:rowOff>89316</xdr:rowOff>
    </xdr:from>
    <xdr:to>
      <xdr:col>3</xdr:col>
      <xdr:colOff>282924</xdr:colOff>
      <xdr:row>68</xdr:row>
      <xdr:rowOff>87118</xdr:rowOff>
    </xdr:to>
    <xdr:sp macro="" textlink="">
      <xdr:nvSpPr>
        <xdr:cNvPr id="99" name="Rechteck 98"/>
        <xdr:cNvSpPr/>
      </xdr:nvSpPr>
      <xdr:spPr>
        <a:xfrm>
          <a:off x="1285290" y="10533198"/>
          <a:ext cx="790575" cy="24433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SPS_PING</a:t>
          </a:r>
        </a:p>
      </xdr:txBody>
    </xdr:sp>
    <xdr:clientData/>
  </xdr:twoCellAnchor>
  <xdr:twoCellAnchor>
    <xdr:from>
      <xdr:col>2</xdr:col>
      <xdr:colOff>122360</xdr:colOff>
      <xdr:row>68</xdr:row>
      <xdr:rowOff>140791</xdr:rowOff>
    </xdr:from>
    <xdr:to>
      <xdr:col>3</xdr:col>
      <xdr:colOff>446210</xdr:colOff>
      <xdr:row>68</xdr:row>
      <xdr:rowOff>140791</xdr:rowOff>
    </xdr:to>
    <xdr:cxnSp macro="">
      <xdr:nvCxnSpPr>
        <xdr:cNvPr id="102" name="Gerade Verbindung mit Pfeil 101"/>
        <xdr:cNvCxnSpPr/>
      </xdr:nvCxnSpPr>
      <xdr:spPr>
        <a:xfrm flipH="1">
          <a:off x="1153301" y="10831203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75171</xdr:colOff>
      <xdr:row>63</xdr:row>
      <xdr:rowOff>170868</xdr:rowOff>
    </xdr:from>
    <xdr:to>
      <xdr:col>7</xdr:col>
      <xdr:colOff>656196</xdr:colOff>
      <xdr:row>64</xdr:row>
      <xdr:rowOff>170867</xdr:rowOff>
    </xdr:to>
    <xdr:sp macro="" textlink="">
      <xdr:nvSpPr>
        <xdr:cNvPr id="103" name="Rechteck 102"/>
        <xdr:cNvSpPr/>
      </xdr:nvSpPr>
      <xdr:spPr>
        <a:xfrm>
          <a:off x="4130816" y="10924092"/>
          <a:ext cx="581025" cy="245643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10</xdr:col>
      <xdr:colOff>140380</xdr:colOff>
      <xdr:row>63</xdr:row>
      <xdr:rowOff>161343</xdr:rowOff>
    </xdr:from>
    <xdr:to>
      <xdr:col>10</xdr:col>
      <xdr:colOff>725801</xdr:colOff>
      <xdr:row>64</xdr:row>
      <xdr:rowOff>161342</xdr:rowOff>
    </xdr:to>
    <xdr:sp macro="" textlink="">
      <xdr:nvSpPr>
        <xdr:cNvPr id="104" name="Rechteck 103"/>
        <xdr:cNvSpPr/>
      </xdr:nvSpPr>
      <xdr:spPr>
        <a:xfrm>
          <a:off x="5870419" y="10914567"/>
          <a:ext cx="585421" cy="245643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BVIS</a:t>
          </a:r>
          <a:endParaRPr lang="de-DE"/>
        </a:p>
      </xdr:txBody>
    </xdr:sp>
    <xdr:clientData/>
  </xdr:twoCellAnchor>
  <xdr:twoCellAnchor>
    <xdr:from>
      <xdr:col>8</xdr:col>
      <xdr:colOff>64285</xdr:colOff>
      <xdr:row>62</xdr:row>
      <xdr:rowOff>152778</xdr:rowOff>
    </xdr:from>
    <xdr:to>
      <xdr:col>9</xdr:col>
      <xdr:colOff>704466</xdr:colOff>
      <xdr:row>63</xdr:row>
      <xdr:rowOff>238503</xdr:rowOff>
    </xdr:to>
    <xdr:sp macro="" textlink="">
      <xdr:nvSpPr>
        <xdr:cNvPr id="105" name="Rechteck 104"/>
        <xdr:cNvSpPr/>
      </xdr:nvSpPr>
      <xdr:spPr>
        <a:xfrm>
          <a:off x="4894020" y="9498484"/>
          <a:ext cx="797064" cy="242607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SPSDELET</a:t>
          </a:r>
        </a:p>
      </xdr:txBody>
    </xdr:sp>
    <xdr:clientData/>
  </xdr:twoCellAnchor>
  <xdr:twoCellAnchor>
    <xdr:from>
      <xdr:col>7</xdr:col>
      <xdr:colOff>694296</xdr:colOff>
      <xdr:row>64</xdr:row>
      <xdr:rowOff>43061</xdr:rowOff>
    </xdr:from>
    <xdr:to>
      <xdr:col>10</xdr:col>
      <xdr:colOff>102280</xdr:colOff>
      <xdr:row>64</xdr:row>
      <xdr:rowOff>43061</xdr:rowOff>
    </xdr:to>
    <xdr:cxnSp macro="">
      <xdr:nvCxnSpPr>
        <xdr:cNvPr id="108" name="Gerade Verbindung mit Pfeil 107"/>
        <xdr:cNvCxnSpPr/>
      </xdr:nvCxnSpPr>
      <xdr:spPr>
        <a:xfrm flipH="1">
          <a:off x="4762031" y="9792179"/>
          <a:ext cx="1088867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67392</xdr:colOff>
      <xdr:row>67</xdr:row>
      <xdr:rowOff>226897</xdr:rowOff>
    </xdr:from>
    <xdr:to>
      <xdr:col>7</xdr:col>
      <xdr:colOff>648417</xdr:colOff>
      <xdr:row>68</xdr:row>
      <xdr:rowOff>226896</xdr:rowOff>
    </xdr:to>
    <xdr:sp macro="" textlink="">
      <xdr:nvSpPr>
        <xdr:cNvPr id="15" name="Rechteck 14"/>
        <xdr:cNvSpPr/>
      </xdr:nvSpPr>
      <xdr:spPr>
        <a:xfrm>
          <a:off x="4126507" y="10799647"/>
          <a:ext cx="581025" cy="249114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10</xdr:col>
      <xdr:colOff>132601</xdr:colOff>
      <xdr:row>67</xdr:row>
      <xdr:rowOff>217372</xdr:rowOff>
    </xdr:from>
    <xdr:to>
      <xdr:col>10</xdr:col>
      <xdr:colOff>718022</xdr:colOff>
      <xdr:row>68</xdr:row>
      <xdr:rowOff>217371</xdr:rowOff>
    </xdr:to>
    <xdr:sp macro="" textlink="">
      <xdr:nvSpPr>
        <xdr:cNvPr id="16" name="Rechteck 15"/>
        <xdr:cNvSpPr/>
      </xdr:nvSpPr>
      <xdr:spPr>
        <a:xfrm>
          <a:off x="5869582" y="10790122"/>
          <a:ext cx="585421" cy="249114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BVIS</a:t>
          </a:r>
          <a:endParaRPr lang="de-DE"/>
        </a:p>
      </xdr:txBody>
    </xdr:sp>
    <xdr:clientData/>
  </xdr:twoCellAnchor>
  <xdr:twoCellAnchor>
    <xdr:from>
      <xdr:col>8</xdr:col>
      <xdr:colOff>56506</xdr:colOff>
      <xdr:row>67</xdr:row>
      <xdr:rowOff>51925</xdr:rowOff>
    </xdr:from>
    <xdr:to>
      <xdr:col>9</xdr:col>
      <xdr:colOff>696687</xdr:colOff>
      <xdr:row>68</xdr:row>
      <xdr:rowOff>48002</xdr:rowOff>
    </xdr:to>
    <xdr:sp macro="" textlink="">
      <xdr:nvSpPr>
        <xdr:cNvPr id="17" name="Rechteck 16"/>
        <xdr:cNvSpPr/>
      </xdr:nvSpPr>
      <xdr:spPr>
        <a:xfrm>
          <a:off x="4877621" y="10624675"/>
          <a:ext cx="794047" cy="245192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SPSFRGIO</a:t>
          </a:r>
        </a:p>
      </xdr:txBody>
    </xdr:sp>
    <xdr:clientData/>
  </xdr:twoCellAnchor>
  <xdr:twoCellAnchor>
    <xdr:from>
      <xdr:col>7</xdr:col>
      <xdr:colOff>686517</xdr:colOff>
      <xdr:row>68</xdr:row>
      <xdr:rowOff>99090</xdr:rowOff>
    </xdr:from>
    <xdr:to>
      <xdr:col>10</xdr:col>
      <xdr:colOff>94501</xdr:colOff>
      <xdr:row>68</xdr:row>
      <xdr:rowOff>99090</xdr:rowOff>
    </xdr:to>
    <xdr:cxnSp macro="">
      <xdr:nvCxnSpPr>
        <xdr:cNvPr id="18" name="Gerade Verbindung mit Pfeil 17"/>
        <xdr:cNvCxnSpPr/>
      </xdr:nvCxnSpPr>
      <xdr:spPr>
        <a:xfrm flipH="1">
          <a:off x="4745632" y="10920955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none" w="med" len="med"/>
          <a:tailEnd type="triangl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260063</xdr:colOff>
      <xdr:row>72</xdr:row>
      <xdr:rowOff>44489</xdr:rowOff>
    </xdr:from>
    <xdr:to>
      <xdr:col>2</xdr:col>
      <xdr:colOff>79088</xdr:colOff>
      <xdr:row>73</xdr:row>
      <xdr:rowOff>44488</xdr:rowOff>
    </xdr:to>
    <xdr:sp macro="" textlink="">
      <xdr:nvSpPr>
        <xdr:cNvPr id="19" name="Rechteck 18"/>
        <xdr:cNvSpPr/>
      </xdr:nvSpPr>
      <xdr:spPr>
        <a:xfrm>
          <a:off x="529004" y="11575342"/>
          <a:ext cx="581025" cy="246528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de-DE" sz="1100"/>
            <a:t>Facility</a:t>
          </a:r>
        </a:p>
      </xdr:txBody>
    </xdr:sp>
    <xdr:clientData/>
  </xdr:twoCellAnchor>
  <xdr:twoCellAnchor>
    <xdr:from>
      <xdr:col>3</xdr:col>
      <xdr:colOff>479138</xdr:colOff>
      <xdr:row>72</xdr:row>
      <xdr:rowOff>34964</xdr:rowOff>
    </xdr:from>
    <xdr:to>
      <xdr:col>5</xdr:col>
      <xdr:colOff>317213</xdr:colOff>
      <xdr:row>73</xdr:row>
      <xdr:rowOff>34963</xdr:rowOff>
    </xdr:to>
    <xdr:sp macro="" textlink="">
      <xdr:nvSpPr>
        <xdr:cNvPr id="20" name="Rechteck 19"/>
        <xdr:cNvSpPr/>
      </xdr:nvSpPr>
      <xdr:spPr>
        <a:xfrm>
          <a:off x="2272079" y="11565817"/>
          <a:ext cx="588869" cy="246528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chemeClr val="lt1"/>
              </a:solidFill>
              <a:latin typeface="+mn-lt"/>
              <a:ea typeface="+mn-ea"/>
              <a:cs typeface="+mn-cs"/>
            </a:rPr>
            <a:t>BVIS</a:t>
          </a:r>
          <a:endParaRPr lang="de-DE"/>
        </a:p>
      </xdr:txBody>
    </xdr:sp>
    <xdr:clientData/>
  </xdr:twoCellAnchor>
  <xdr:twoCellAnchor>
    <xdr:from>
      <xdr:col>2</xdr:col>
      <xdr:colOff>249177</xdr:colOff>
      <xdr:row>71</xdr:row>
      <xdr:rowOff>134148</xdr:rowOff>
    </xdr:from>
    <xdr:to>
      <xdr:col>3</xdr:col>
      <xdr:colOff>277752</xdr:colOff>
      <xdr:row>72</xdr:row>
      <xdr:rowOff>131950</xdr:rowOff>
    </xdr:to>
    <xdr:sp macro="" textlink="">
      <xdr:nvSpPr>
        <xdr:cNvPr id="21" name="Rechteck 20"/>
        <xdr:cNvSpPr/>
      </xdr:nvSpPr>
      <xdr:spPr>
        <a:xfrm>
          <a:off x="1280118" y="11418472"/>
          <a:ext cx="790575" cy="244331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de-DE" sz="1000">
              <a:solidFill>
                <a:schemeClr val="tx1"/>
              </a:solidFill>
              <a:latin typeface="+mn-lt"/>
              <a:ea typeface="+mn-ea"/>
              <a:cs typeface="+mn-cs"/>
            </a:rPr>
            <a:t>SPSWERTE</a:t>
          </a:r>
        </a:p>
      </xdr:txBody>
    </xdr:sp>
    <xdr:clientData/>
  </xdr:twoCellAnchor>
  <xdr:twoCellAnchor>
    <xdr:from>
      <xdr:col>2</xdr:col>
      <xdr:colOff>117188</xdr:colOff>
      <xdr:row>72</xdr:row>
      <xdr:rowOff>185623</xdr:rowOff>
    </xdr:from>
    <xdr:to>
      <xdr:col>3</xdr:col>
      <xdr:colOff>441038</xdr:colOff>
      <xdr:row>72</xdr:row>
      <xdr:rowOff>185623</xdr:rowOff>
    </xdr:to>
    <xdr:cxnSp macro="">
      <xdr:nvCxnSpPr>
        <xdr:cNvPr id="22" name="Gerade Verbindung mit Pfeil 21"/>
        <xdr:cNvCxnSpPr/>
      </xdr:nvCxnSpPr>
      <xdr:spPr>
        <a:xfrm flipH="1">
          <a:off x="1148129" y="11716476"/>
          <a:ext cx="1085850" cy="0"/>
        </a:xfrm>
        <a:prstGeom prst="straightConnector1">
          <a:avLst/>
        </a:prstGeom>
        <a:ln>
          <a:solidFill>
            <a:schemeClr val="bg1">
              <a:lumMod val="50000"/>
            </a:schemeClr>
          </a:solidFill>
          <a:headEnd type="triangl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56028</xdr:colOff>
      <xdr:row>1</xdr:row>
      <xdr:rowOff>33616</xdr:rowOff>
    </xdr:from>
    <xdr:to>
      <xdr:col>1</xdr:col>
      <xdr:colOff>480295</xdr:colOff>
      <xdr:row>1</xdr:row>
      <xdr:rowOff>510591</xdr:rowOff>
    </xdr:to>
    <xdr:pic>
      <xdr:nvPicPr>
        <xdr:cNvPr id="23" name="Picture 1" descr="bmw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24969" y="145675"/>
          <a:ext cx="424267" cy="476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60</xdr:row>
          <xdr:rowOff>95250</xdr:rowOff>
        </xdr:from>
        <xdr:to>
          <xdr:col>3</xdr:col>
          <xdr:colOff>495300</xdr:colOff>
          <xdr:row>62</xdr:row>
          <xdr:rowOff>66675</xdr:rowOff>
        </xdr:to>
        <xdr:sp macro="" textlink="">
          <xdr:nvSpPr>
            <xdr:cNvPr id="11273" name="SPSDATEN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542925</xdr:colOff>
          <xdr:row>60</xdr:row>
          <xdr:rowOff>133350</xdr:rowOff>
        </xdr:from>
        <xdr:to>
          <xdr:col>10</xdr:col>
          <xdr:colOff>247650</xdr:colOff>
          <xdr:row>62</xdr:row>
          <xdr:rowOff>85725</xdr:rowOff>
        </xdr:to>
        <xdr:sp macro="" textlink="">
          <xdr:nvSpPr>
            <xdr:cNvPr id="11274" name="SPSDELET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66</xdr:row>
          <xdr:rowOff>47625</xdr:rowOff>
        </xdr:from>
        <xdr:to>
          <xdr:col>4</xdr:col>
          <xdr:colOff>0</xdr:colOff>
          <xdr:row>66</xdr:row>
          <xdr:rowOff>285750</xdr:rowOff>
        </xdr:to>
        <xdr:sp macro="" textlink="">
          <xdr:nvSpPr>
            <xdr:cNvPr id="11275" name="SPS_PING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533400</xdr:colOff>
          <xdr:row>66</xdr:row>
          <xdr:rowOff>104775</xdr:rowOff>
        </xdr:from>
        <xdr:to>
          <xdr:col>10</xdr:col>
          <xdr:colOff>238125</xdr:colOff>
          <xdr:row>67</xdr:row>
          <xdr:rowOff>47625</xdr:rowOff>
        </xdr:to>
        <xdr:sp macro="" textlink="">
          <xdr:nvSpPr>
            <xdr:cNvPr id="11276" name="SPSFRGIO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70</xdr:row>
          <xdr:rowOff>133350</xdr:rowOff>
        </xdr:from>
        <xdr:to>
          <xdr:col>3</xdr:col>
          <xdr:colOff>571500</xdr:colOff>
          <xdr:row>71</xdr:row>
          <xdr:rowOff>123825</xdr:rowOff>
        </xdr:to>
        <xdr:sp macro="" textlink="">
          <xdr:nvSpPr>
            <xdr:cNvPr id="11277" name="SPSWERTE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457200</xdr:colOff>
          <xdr:row>20</xdr:row>
          <xdr:rowOff>123825</xdr:rowOff>
        </xdr:from>
        <xdr:to>
          <xdr:col>6</xdr:col>
          <xdr:colOff>619125</xdr:colOff>
          <xdr:row>22</xdr:row>
          <xdr:rowOff>66675</xdr:rowOff>
        </xdr:to>
        <xdr:sp macro="" textlink="">
          <xdr:nvSpPr>
            <xdr:cNvPr id="11279" name="CP_Communication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717180</xdr:colOff>
      <xdr:row>18</xdr:row>
      <xdr:rowOff>44824</xdr:rowOff>
    </xdr:from>
    <xdr:to>
      <xdr:col>6</xdr:col>
      <xdr:colOff>268945</xdr:colOff>
      <xdr:row>21</xdr:row>
      <xdr:rowOff>123268</xdr:rowOff>
    </xdr:to>
    <xdr:sp macro="" textlink="">
      <xdr:nvSpPr>
        <xdr:cNvPr id="4" name="Gestreifter Pfeil nach rechts 3"/>
        <xdr:cNvSpPr/>
      </xdr:nvSpPr>
      <xdr:spPr>
        <a:xfrm rot="5400000">
          <a:off x="3860428" y="3815605"/>
          <a:ext cx="549091" cy="2868706"/>
        </a:xfrm>
        <a:prstGeom prst="stripedRightArrow">
          <a:avLst/>
        </a:prstGeom>
        <a:solidFill>
          <a:schemeClr val="bg1">
            <a:lumMod val="85000"/>
          </a:schemeClr>
        </a:solidFill>
        <a:ln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de-DE" sz="1100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89647</xdr:colOff>
      <xdr:row>4</xdr:row>
      <xdr:rowOff>0</xdr:rowOff>
    </xdr:from>
    <xdr:to>
      <xdr:col>51</xdr:col>
      <xdr:colOff>145676</xdr:colOff>
      <xdr:row>21</xdr:row>
      <xdr:rowOff>51212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264588" y="728382"/>
          <a:ext cx="4650441" cy="3726742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0_Gremien\11_FG_EL\41_P_AKZ\Standard\Archiv\Users\q006239\AppData\Local\Microsoft\Windows\Temporary%20Internet%20Files\Content.Outlook\OHIIHR4B\OKZ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ktionskürzel"/>
      <sheetName val="Funktionskürzel alternativ"/>
      <sheetName val="Daten"/>
    </sheetNames>
    <sheetDataSet>
      <sheetData sheetId="0" refreshError="1"/>
      <sheetData sheetId="1" refreshError="1"/>
      <sheetData sheetId="2" refreshError="1">
        <row r="1">
          <cell r="A1" t="str">
            <v>DE</v>
          </cell>
        </row>
        <row r="2">
          <cell r="A2" t="str">
            <v>--</v>
          </cell>
        </row>
        <row r="3">
          <cell r="A3" t="str">
            <v>--</v>
          </cell>
        </row>
        <row r="4">
          <cell r="A4" t="str">
            <v>Abluft</v>
          </cell>
        </row>
        <row r="5">
          <cell r="A5" t="str">
            <v>Abzugsantrieb</v>
          </cell>
        </row>
        <row r="6">
          <cell r="A6" t="str">
            <v>Abzugsantrieb</v>
          </cell>
        </row>
        <row r="7">
          <cell r="A7" t="str">
            <v>Andockantrieb</v>
          </cell>
        </row>
        <row r="8">
          <cell r="A8" t="str">
            <v>Andockantrieb</v>
          </cell>
        </row>
        <row r="9">
          <cell r="A9" t="str">
            <v>Anlagen-PC</v>
          </cell>
        </row>
        <row r="10">
          <cell r="A10" t="str">
            <v>Anpass-/Antriebs-Schrank bzw. -Kasten, Leistungschrank Steuerung Steuerungstechnik</v>
          </cell>
        </row>
        <row r="11">
          <cell r="A11" t="str">
            <v>Anzeigen (Tableaus, Einzelanzeigen)</v>
          </cell>
        </row>
        <row r="12">
          <cell r="A12" t="str">
            <v>Arbeitsplatz, Takt,</v>
          </cell>
        </row>
        <row r="13">
          <cell r="A13" t="str">
            <v>Arbeitsraum</v>
          </cell>
        </row>
        <row r="14">
          <cell r="A14" t="str">
            <v>Arretierung</v>
          </cell>
        </row>
        <row r="15">
          <cell r="A15" t="str">
            <v>Aufheizzone</v>
          </cell>
        </row>
        <row r="16">
          <cell r="A16" t="str">
            <v>Auslagerwagen</v>
          </cell>
        </row>
        <row r="17">
          <cell r="A17" t="str">
            <v>Auslauf</v>
          </cell>
        </row>
        <row r="18">
          <cell r="A18" t="str">
            <v>Ausschieber</v>
          </cell>
        </row>
        <row r="19">
          <cell r="A19" t="str">
            <v>Aussenluft</v>
          </cell>
        </row>
        <row r="20">
          <cell r="A20" t="str">
            <v>Bauteileentsorgung</v>
          </cell>
        </row>
        <row r="21">
          <cell r="A21" t="str">
            <v>Bauteilfixierung</v>
          </cell>
        </row>
        <row r="22">
          <cell r="A22" t="str">
            <v>Bauteilversorgung</v>
          </cell>
        </row>
        <row r="23">
          <cell r="A23" t="str">
            <v>Bedientableau</v>
          </cell>
        </row>
        <row r="24">
          <cell r="A24" t="str">
            <v>Behälteraufnahme Behälterturm</v>
          </cell>
        </row>
        <row r="25">
          <cell r="A25" t="str">
            <v>Beladearm</v>
          </cell>
        </row>
        <row r="26">
          <cell r="A26" t="str">
            <v>Beladetüre</v>
          </cell>
        </row>
        <row r="27">
          <cell r="A27" t="str">
            <v>Beleuchtung</v>
          </cell>
        </row>
        <row r="28">
          <cell r="A28" t="str">
            <v>Blindnieten</v>
          </cell>
        </row>
        <row r="29">
          <cell r="A29" t="str">
            <v>Blockstelle</v>
          </cell>
        </row>
        <row r="30">
          <cell r="A30" t="str">
            <v>Bohreinheit</v>
          </cell>
        </row>
        <row r="31">
          <cell r="A31" t="str">
            <v>Bolzenschweissen</v>
          </cell>
        </row>
        <row r="32">
          <cell r="A32" t="str">
            <v>Brandschutztor</v>
          </cell>
        </row>
        <row r="33">
          <cell r="A33" t="str">
            <v>Bremsantrieb</v>
          </cell>
        </row>
        <row r="34">
          <cell r="A34" t="str">
            <v>Brenner</v>
          </cell>
        </row>
        <row r="35">
          <cell r="A35" t="str">
            <v>Buckelschweissen</v>
          </cell>
        </row>
        <row r="36">
          <cell r="A36" t="str">
            <v>BVS-Schrank + integrierte Einspeisung (BVSE-Schrank)</v>
          </cell>
        </row>
        <row r="37">
          <cell r="A37" t="str">
            <v>BVx-Schrank (BVS, BVT, BVO)</v>
          </cell>
        </row>
        <row r="38">
          <cell r="A38" t="str">
            <v>Clinchen</v>
          </cell>
        </row>
        <row r="39">
          <cell r="A39" t="str">
            <v>Diagnosestation</v>
          </cell>
        </row>
        <row r="40">
          <cell r="A40" t="str">
            <v>Distanzkontrolle</v>
          </cell>
        </row>
        <row r="41">
          <cell r="A41" t="str">
            <v>Dosierbehälter</v>
          </cell>
        </row>
        <row r="42">
          <cell r="A42" t="str">
            <v>Drehantrieb</v>
          </cell>
        </row>
        <row r="43">
          <cell r="A43" t="str">
            <v>Drehtisch</v>
          </cell>
        </row>
        <row r="44">
          <cell r="A44" t="str">
            <v>Drehtisch</v>
          </cell>
        </row>
        <row r="45">
          <cell r="A45" t="str">
            <v>Drehtisch</v>
          </cell>
        </row>
        <row r="46">
          <cell r="A46" t="str">
            <v>Drehtrommel</v>
          </cell>
        </row>
        <row r="47">
          <cell r="A47" t="str">
            <v>Drehverteiler</v>
          </cell>
        </row>
        <row r="48">
          <cell r="A48" t="str">
            <v>Druckluft</v>
          </cell>
        </row>
        <row r="49">
          <cell r="A49" t="str">
            <v>Düsenreinigung</v>
          </cell>
        </row>
        <row r="50">
          <cell r="A50" t="str">
            <v>Ein-/Ausschleusstation</v>
          </cell>
        </row>
        <row r="51">
          <cell r="A51" t="str">
            <v>Einlegestation, Einschleusen</v>
          </cell>
        </row>
        <row r="52">
          <cell r="A52" t="str">
            <v>Einrichtmeister</v>
          </cell>
        </row>
        <row r="53">
          <cell r="A53" t="str">
            <v>Einspeiseschrank</v>
          </cell>
        </row>
        <row r="54">
          <cell r="A54" t="str">
            <v>Einspeiseschrank (ohne Steuerung)</v>
          </cell>
        </row>
        <row r="55">
          <cell r="A55" t="str">
            <v>Elektrodenkappenwechsler</v>
          </cell>
        </row>
        <row r="56">
          <cell r="A56" t="str">
            <v>Entkoppler</v>
          </cell>
        </row>
        <row r="57">
          <cell r="A57" t="str">
            <v>Etikettierer</v>
          </cell>
        </row>
        <row r="58">
          <cell r="A58" t="str">
            <v>Fahrkabine</v>
          </cell>
        </row>
        <row r="59">
          <cell r="A59" t="str">
            <v>Fahrschiene, Fahrschalter</v>
          </cell>
        </row>
        <row r="60">
          <cell r="A60" t="str">
            <v>Fahrwerk, Farbwahl</v>
          </cell>
        </row>
        <row r="61">
          <cell r="A61" t="str">
            <v>Fahrzone</v>
          </cell>
        </row>
        <row r="62">
          <cell r="A62" t="str">
            <v>Fahrzoneneinspeisekasten (Fördertechnik)</v>
          </cell>
        </row>
        <row r="63">
          <cell r="A63" t="str">
            <v>Filter allgemein</v>
          </cell>
        </row>
        <row r="64">
          <cell r="A64" t="str">
            <v>Flüssigkeitsbehälter</v>
          </cell>
        </row>
        <row r="65">
          <cell r="A65" t="str">
            <v>Fördermittel</v>
          </cell>
        </row>
        <row r="66">
          <cell r="A66" t="str">
            <v>Frischluft</v>
          </cell>
        </row>
        <row r="67">
          <cell r="A67" t="str">
            <v>Fügen</v>
          </cell>
        </row>
        <row r="68">
          <cell r="A68" t="str">
            <v>Funktionsgruppe</v>
          </cell>
        </row>
        <row r="69">
          <cell r="A69" t="str">
            <v>Gehänge Schließstation</v>
          </cell>
        </row>
        <row r="70">
          <cell r="A70" t="str">
            <v>Gehänge Verstellstation</v>
          </cell>
        </row>
        <row r="71">
          <cell r="A71" t="str">
            <v>Geschwindigkeitserfassung (general)</v>
          </cell>
        </row>
        <row r="72">
          <cell r="A72" t="str">
            <v>Greifer (Handling) am Roboter</v>
          </cell>
        </row>
        <row r="73">
          <cell r="A73" t="str">
            <v>Gruppe</v>
          </cell>
        </row>
        <row r="74">
          <cell r="A74" t="str">
            <v>Gurt- / Zahnriemenförderer</v>
          </cell>
        </row>
        <row r="75">
          <cell r="A75" t="str">
            <v>Handlingsgerät</v>
          </cell>
        </row>
        <row r="76">
          <cell r="A76" t="str">
            <v>Hand-Vor-Ort-Bedieneinheit</v>
          </cell>
        </row>
        <row r="77">
          <cell r="A77" t="str">
            <v>Heizung</v>
          </cell>
        </row>
        <row r="78">
          <cell r="A78" t="str">
            <v>Hubbalken Block</v>
          </cell>
        </row>
        <row r="79">
          <cell r="A79" t="str">
            <v>Hubbalkenblock</v>
          </cell>
        </row>
        <row r="80">
          <cell r="A80" t="str">
            <v>Hubstation</v>
          </cell>
        </row>
        <row r="81">
          <cell r="A81" t="str">
            <v>Hubstation</v>
          </cell>
        </row>
        <row r="82">
          <cell r="A82" t="str">
            <v>Hubstation</v>
          </cell>
        </row>
        <row r="83">
          <cell r="A83" t="str">
            <v>Hubtisch</v>
          </cell>
        </row>
        <row r="84">
          <cell r="A84" t="str">
            <v>Hubtisch</v>
          </cell>
        </row>
        <row r="85">
          <cell r="A85" t="str">
            <v>Hubtisch</v>
          </cell>
        </row>
        <row r="86">
          <cell r="A86" t="str">
            <v>Hubwerk</v>
          </cell>
        </row>
        <row r="87">
          <cell r="A87" t="str">
            <v>Hydraulik</v>
          </cell>
        </row>
        <row r="88">
          <cell r="A88" t="str">
            <v>Hydraulikaggregat</v>
          </cell>
        </row>
        <row r="89">
          <cell r="A89" t="str">
            <v>Hydraulikaggregat</v>
          </cell>
        </row>
        <row r="90">
          <cell r="A90" t="str">
            <v>Identsystem</v>
          </cell>
        </row>
        <row r="91">
          <cell r="A91" t="str">
            <v>Industrie-Roboter</v>
          </cell>
        </row>
        <row r="92">
          <cell r="A92" t="str">
            <v>Inline-Messstation</v>
          </cell>
        </row>
        <row r="93">
          <cell r="A93" t="str">
            <v>Installationsnotaustaster</v>
          </cell>
        </row>
        <row r="94">
          <cell r="A94" t="str">
            <v>Kabine</v>
          </cell>
        </row>
        <row r="95">
          <cell r="A95" t="str">
            <v>Kamerasystem</v>
          </cell>
        </row>
        <row r="96">
          <cell r="A96" t="str">
            <v>Kappenfräser und E-Kappenwechsler</v>
          </cell>
        </row>
        <row r="97">
          <cell r="A97" t="str">
            <v>Karossenumsetzer</v>
          </cell>
        </row>
        <row r="98">
          <cell r="A98" t="str">
            <v>Karossenverriegelung</v>
          </cell>
        </row>
        <row r="99">
          <cell r="A99" t="str">
            <v>Kette Einlag., Kuppeleinheit, Klappstation</v>
          </cell>
        </row>
        <row r="100">
          <cell r="A100" t="str">
            <v>Kettenförderer</v>
          </cell>
        </row>
        <row r="101">
          <cell r="A101" t="str">
            <v>Kipptisch</v>
          </cell>
        </row>
        <row r="102">
          <cell r="A102" t="str">
            <v>Kleben allg., Klebe-Technik/Auftrag</v>
          </cell>
        </row>
        <row r="103">
          <cell r="A103" t="str">
            <v>Klebetechnik</v>
          </cell>
        </row>
        <row r="104">
          <cell r="A104" t="str">
            <v>Klemmkasten</v>
          </cell>
        </row>
        <row r="105">
          <cell r="A105" t="str">
            <v>Klemmung</v>
          </cell>
        </row>
        <row r="106">
          <cell r="A106" t="str">
            <v>Kühlen</v>
          </cell>
        </row>
        <row r="107">
          <cell r="A107" t="str">
            <v>Kühlzone</v>
          </cell>
        </row>
        <row r="108">
          <cell r="A108" t="str">
            <v>Kurvenblock</v>
          </cell>
        </row>
        <row r="109">
          <cell r="A109" t="str">
            <v>Kurvenblock</v>
          </cell>
        </row>
        <row r="110">
          <cell r="A110" t="str">
            <v>Längsförderer</v>
          </cell>
        </row>
        <row r="111">
          <cell r="A111" t="str">
            <v>Laserschweißen</v>
          </cell>
        </row>
        <row r="112">
          <cell r="A112" t="str">
            <v>Laufrollen</v>
          </cell>
        </row>
        <row r="113">
          <cell r="A113" t="str">
            <v>Leistungsschrank (evtl. inkl. Steu./ Einsp.)</v>
          </cell>
        </row>
        <row r="114">
          <cell r="A114" t="str">
            <v>Lenkradmesswaage</v>
          </cell>
        </row>
        <row r="115">
          <cell r="A115" t="str">
            <v>Luftaufbereitung</v>
          </cell>
        </row>
        <row r="116">
          <cell r="A116" t="str">
            <v>Makiersysteme (Präger, Nadelritzen,)</v>
          </cell>
        </row>
        <row r="117">
          <cell r="A117" t="str">
            <v>Medien-Modul (Roboter Luft und Wasser)</v>
          </cell>
        </row>
        <row r="118">
          <cell r="A118" t="str">
            <v>Medienplatte, Medieneinspeisung, Luftverbrauchsmessung (Fertigungsanlagen)</v>
          </cell>
        </row>
        <row r="119">
          <cell r="A119" t="str">
            <v>Meldeschiene, Messschrank</v>
          </cell>
        </row>
        <row r="120">
          <cell r="A120" t="str">
            <v>Messeinrichtung</v>
          </cell>
        </row>
        <row r="121">
          <cell r="A121" t="str">
            <v>Meßschlitten</v>
          </cell>
        </row>
        <row r="122">
          <cell r="A122" t="str">
            <v>Mischbehälter</v>
          </cell>
        </row>
        <row r="123">
          <cell r="A123" t="str">
            <v>Montageplatz, Montieren</v>
          </cell>
        </row>
        <row r="124">
          <cell r="A124" t="str">
            <v>Niederspannungsverteiler-Schrank</v>
          </cell>
        </row>
        <row r="125">
          <cell r="A125" t="str">
            <v>Nieten</v>
          </cell>
        </row>
        <row r="126">
          <cell r="A126" t="str">
            <v>Not-Aus</v>
          </cell>
        </row>
        <row r="127">
          <cell r="A127" t="str">
            <v>Notaus Schiene</v>
          </cell>
        </row>
        <row r="128">
          <cell r="A128" t="str">
            <v>Not-Aus Schiene Trennblock</v>
          </cell>
        </row>
        <row r="129">
          <cell r="A129" t="str">
            <v>Paternoster</v>
          </cell>
        </row>
        <row r="130">
          <cell r="A130" t="str">
            <v>PE-Prüfstation</v>
          </cell>
        </row>
        <row r="131">
          <cell r="A131" t="str">
            <v>Plattenband</v>
          </cell>
        </row>
        <row r="132">
          <cell r="A132" t="str">
            <v>Positioniereinrichtung / Zentrierung</v>
          </cell>
        </row>
        <row r="133">
          <cell r="A133" t="str">
            <v>Power and Free Förderanlage</v>
          </cell>
        </row>
        <row r="134">
          <cell r="A134" t="str">
            <v>Powerrail Booster Schiene A/B</v>
          </cell>
        </row>
        <row r="135">
          <cell r="A135" t="str">
            <v>Powerrail Booster Trennblock,
Portal</v>
          </cell>
        </row>
        <row r="136">
          <cell r="A136" t="str">
            <v>Primerauftrag</v>
          </cell>
        </row>
        <row r="137">
          <cell r="A137" t="str">
            <v>Protokolldrucker</v>
          </cell>
        </row>
        <row r="138">
          <cell r="A138" t="str">
            <v>Prozessleine</v>
          </cell>
        </row>
        <row r="139">
          <cell r="A139" t="str">
            <v>Prüf Station / Ausschleusstation</v>
          </cell>
        </row>
        <row r="140">
          <cell r="A140" t="str">
            <v>Prüfen</v>
          </cell>
        </row>
        <row r="141">
          <cell r="A141" t="str">
            <v>Prüfstation</v>
          </cell>
        </row>
        <row r="142">
          <cell r="A142" t="str">
            <v>Puffer, Pufferförderer</v>
          </cell>
        </row>
        <row r="143">
          <cell r="A143" t="str">
            <v>Pumpe</v>
          </cell>
        </row>
        <row r="144">
          <cell r="A144" t="str">
            <v>Querkettenförderer</v>
          </cell>
        </row>
        <row r="145">
          <cell r="A145" t="str">
            <v>Radstandsverstelleinheit</v>
          </cell>
        </row>
        <row r="146">
          <cell r="A146" t="str">
            <v>Rechnerschrank</v>
          </cell>
        </row>
        <row r="147">
          <cell r="A147" t="str">
            <v>Regal</v>
          </cell>
        </row>
        <row r="148">
          <cell r="A148" t="str">
            <v>Roboter</v>
          </cell>
        </row>
        <row r="149">
          <cell r="A149" t="str">
            <v>Rollenbahn</v>
          </cell>
        </row>
        <row r="150">
          <cell r="A150" t="str">
            <v>Rollenbahn</v>
          </cell>
        </row>
        <row r="151">
          <cell r="A151" t="str">
            <v>Rollenförderer</v>
          </cell>
        </row>
        <row r="152">
          <cell r="A152" t="str">
            <v>Rollenumsetzstation</v>
          </cell>
        </row>
        <row r="153">
          <cell r="A153" t="str">
            <v>Rolltor</v>
          </cell>
        </row>
        <row r="154">
          <cell r="A154" t="str">
            <v>Rücklauf</v>
          </cell>
        </row>
        <row r="155">
          <cell r="A155" t="str">
            <v>Rührwerk</v>
          </cell>
        </row>
        <row r="156">
          <cell r="A156" t="str">
            <v>Schieneneinspeisungen (Segment)</v>
          </cell>
        </row>
        <row r="157">
          <cell r="A157" t="str">
            <v>Schleppförderer</v>
          </cell>
        </row>
        <row r="158">
          <cell r="A158" t="str">
            <v>Schrauber Controller</v>
          </cell>
        </row>
        <row r="159">
          <cell r="A159" t="str">
            <v>Schubantrieb</v>
          </cell>
        </row>
        <row r="160">
          <cell r="A160" t="str">
            <v>Schutzgas</v>
          </cell>
        </row>
        <row r="161">
          <cell r="A161" t="str">
            <v>Schutztür</v>
          </cell>
        </row>
        <row r="162">
          <cell r="A162" t="str">
            <v>Schutztürriegel</v>
          </cell>
        </row>
        <row r="163">
          <cell r="A163" t="str">
            <v>Schutzzaun</v>
          </cell>
        </row>
        <row r="164">
          <cell r="A164" t="str">
            <v>Schweisskoffer</v>
          </cell>
        </row>
        <row r="165">
          <cell r="A165" t="str">
            <v>Schweisszange</v>
          </cell>
        </row>
        <row r="166">
          <cell r="A166" t="str">
            <v>Schwenkplatte
Schwenkeinrichtung / Schwenkeinheit/Schwenktisch</v>
          </cell>
        </row>
        <row r="167">
          <cell r="A167" t="str">
            <v>Servoeinheit</v>
          </cell>
        </row>
        <row r="168">
          <cell r="A168" t="str">
            <v>Shuttle</v>
          </cell>
        </row>
        <row r="169">
          <cell r="A169" t="str">
            <v>Shuttle / transfer</v>
          </cell>
        </row>
        <row r="170">
          <cell r="A170" t="str">
            <v>Sicherheits Block (Fördertechnik)</v>
          </cell>
        </row>
        <row r="171">
          <cell r="A171" t="str">
            <v>Sicherheitsblock</v>
          </cell>
        </row>
        <row r="172">
          <cell r="A172" t="str">
            <v>Signalaustausch</v>
          </cell>
        </row>
        <row r="173">
          <cell r="A173" t="str">
            <v>Speicher Regal / Bauteilablage (ohne Wertschöpfung)</v>
          </cell>
        </row>
        <row r="174">
          <cell r="A174" t="str">
            <v>Sperre</v>
          </cell>
        </row>
        <row r="175">
          <cell r="A175" t="str">
            <v>Stauförderer</v>
          </cell>
        </row>
        <row r="176">
          <cell r="A176" t="str">
            <v>Staukette</v>
          </cell>
        </row>
        <row r="177">
          <cell r="A177" t="str">
            <v>Stellgerät general</v>
          </cell>
        </row>
        <row r="178">
          <cell r="A178" t="str">
            <v>Steuerschrank (evtl. inkl. Leistung)</v>
          </cell>
        </row>
        <row r="179">
          <cell r="A179" t="str">
            <v>Stopper (Fördertechnik)</v>
          </cell>
        </row>
        <row r="180">
          <cell r="A180" t="str">
            <v>Teleskopgabel
Gabel</v>
          </cell>
        </row>
        <row r="181">
          <cell r="A181" t="str">
            <v>Terminal f. Dateneingabe; Datensichtger.</v>
          </cell>
        </row>
        <row r="182">
          <cell r="A182" t="str">
            <v>Träger</v>
          </cell>
        </row>
        <row r="183">
          <cell r="A183" t="str">
            <v>Tragkettenförderer</v>
          </cell>
        </row>
        <row r="184">
          <cell r="A184" t="str">
            <v>Transfer</v>
          </cell>
        </row>
        <row r="185">
          <cell r="A185" t="str">
            <v>Trennblock</v>
          </cell>
        </row>
        <row r="186">
          <cell r="A186" t="str">
            <v>Trennblockkasten (Fördertechnik)</v>
          </cell>
        </row>
        <row r="187">
          <cell r="A187" t="str">
            <v>Trockner</v>
          </cell>
        </row>
        <row r="188">
          <cell r="A188" t="str">
            <v>Typerkennung</v>
          </cell>
        </row>
        <row r="189">
          <cell r="A189" t="str">
            <v>Umluft</v>
          </cell>
        </row>
        <row r="190">
          <cell r="A190" t="str">
            <v>Umsetzeinheit (Übersetzer)</v>
          </cell>
        </row>
        <row r="191">
          <cell r="A191" t="str">
            <v>Umsetzstation, Umsetzeinheit, Übersetzer</v>
          </cell>
        </row>
        <row r="192">
          <cell r="A192" t="str">
            <v>Umsetzzone</v>
          </cell>
        </row>
        <row r="193">
          <cell r="A193" t="str">
            <v>Unterverteiler</v>
          </cell>
        </row>
        <row r="194">
          <cell r="A194" t="str">
            <v>Unterverteiler 
Klemmkasten
Schaltkasten</v>
          </cell>
        </row>
        <row r="195">
          <cell r="A195" t="str">
            <v>Ventilschrank</v>
          </cell>
        </row>
        <row r="196">
          <cell r="A196" t="str">
            <v>Ver- /Entriegelungsstation</v>
          </cell>
        </row>
        <row r="197">
          <cell r="A197" t="str">
            <v>Vereinzelung</v>
          </cell>
        </row>
        <row r="198">
          <cell r="A198" t="str">
            <v>Verriegelung</v>
          </cell>
        </row>
        <row r="199">
          <cell r="A199" t="str">
            <v>Verschiebewagen</v>
          </cell>
        </row>
        <row r="200">
          <cell r="A200" t="str">
            <v>Verschiebewagen</v>
          </cell>
        </row>
        <row r="201">
          <cell r="A201" t="str">
            <v>Vertikal Förderer</v>
          </cell>
        </row>
        <row r="202">
          <cell r="A202" t="str">
            <v>Vorlauf</v>
          </cell>
        </row>
        <row r="203">
          <cell r="A203" t="str">
            <v>Warte Block (Fördertechnik)</v>
          </cell>
        </row>
        <row r="204">
          <cell r="A204" t="str">
            <v>Wartungseinheit</v>
          </cell>
        </row>
        <row r="205">
          <cell r="A205" t="str">
            <v>Wartungseinheit</v>
          </cell>
        </row>
        <row r="206">
          <cell r="A206" t="str">
            <v>Waschanlage</v>
          </cell>
        </row>
        <row r="207">
          <cell r="A207" t="str">
            <v>Weiche</v>
          </cell>
        </row>
        <row r="208">
          <cell r="A208" t="str">
            <v>Weiche (Fördertechnik)</v>
          </cell>
        </row>
        <row r="209">
          <cell r="A209" t="str">
            <v>Werkermitfahrband, Warteblock</v>
          </cell>
        </row>
        <row r="210">
          <cell r="A210" t="str">
            <v>Werkerplatz mit Tor, Scanner oder Licht-vorhang</v>
          </cell>
        </row>
        <row r="211">
          <cell r="A211" t="str">
            <v>Werkertor</v>
          </cell>
        </row>
        <row r="212">
          <cell r="A212" t="str">
            <v>Werkzeug (Fertigungsanlagen)</v>
          </cell>
        </row>
        <row r="213">
          <cell r="A213" t="str">
            <v>Werkzeug general</v>
          </cell>
        </row>
        <row r="214">
          <cell r="A214" t="str">
            <v>Werkzeugablage (Robotergreifer, Zangenbahnhof)</v>
          </cell>
        </row>
        <row r="215">
          <cell r="A215" t="str">
            <v>Werkzeugwechsler</v>
          </cell>
        </row>
        <row r="216">
          <cell r="A216" t="str">
            <v>Wippe</v>
          </cell>
        </row>
        <row r="217">
          <cell r="A217" t="str">
            <v>Zuführeinheit (Kokat, Bauteilrutschen,Vereinzelner, Bauteilwagen)</v>
          </cell>
        </row>
        <row r="218">
          <cell r="A218" t="str">
            <v>Zug- Hubeinrichtung</v>
          </cell>
        </row>
        <row r="219">
          <cell r="A219" t="str">
            <v>Zuluft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tabColor rgb="FFFFFF00"/>
  </sheetPr>
  <dimension ref="A1:AF76"/>
  <sheetViews>
    <sheetView showGridLines="0" tabSelected="1" topLeftCell="B1" zoomScale="85" zoomScaleNormal="85" workbookViewId="0">
      <pane ySplit="4" topLeftCell="A5" activePane="bottomLeft" state="frozen"/>
      <selection pane="bottomLeft" activeCell="AC31" sqref="AC31"/>
    </sheetView>
  </sheetViews>
  <sheetFormatPr baseColWidth="10" defaultRowHeight="12.75" outlineLevelRow="1" x14ac:dyDescent="0.2"/>
  <cols>
    <col min="1" max="1" width="4" customWidth="1"/>
    <col min="2" max="2" width="11.42578125" style="4"/>
    <col min="4" max="4" width="8.85546875" customWidth="1"/>
    <col min="5" max="5" width="2.28515625" style="4" customWidth="1"/>
    <col min="6" max="6" width="12.5703125" customWidth="1"/>
    <col min="7" max="7" width="13.5703125" customWidth="1"/>
    <col min="8" max="8" width="11.42578125" customWidth="1"/>
    <col min="9" max="9" width="2.28515625" style="4" customWidth="1"/>
    <col min="13" max="13" width="2.28515625" style="4" customWidth="1"/>
    <col min="14" max="14" width="6" customWidth="1"/>
    <col min="15" max="15" width="3.140625" customWidth="1"/>
    <col min="16" max="16" width="3.140625" style="4" customWidth="1"/>
    <col min="17" max="17" width="19.85546875" customWidth="1"/>
    <col min="21" max="21" width="11.42578125" style="4"/>
    <col min="28" max="28" width="11.42578125" style="4"/>
    <col min="30" max="30" width="11.42578125" style="4"/>
    <col min="31" max="31" width="13.140625" style="4" customWidth="1"/>
    <col min="32" max="32" width="4.7109375" customWidth="1"/>
  </cols>
  <sheetData>
    <row r="1" spans="1:32" s="4" customFormat="1" ht="9" customHeight="1" x14ac:dyDescent="0.2">
      <c r="D1" s="8"/>
    </row>
    <row r="2" spans="1:32" s="4" customFormat="1" ht="42.75" customHeight="1" x14ac:dyDescent="0.2">
      <c r="C2" s="126" t="s">
        <v>96</v>
      </c>
      <c r="D2" s="126"/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</row>
    <row r="3" spans="1:32" s="4" customFormat="1" ht="24" customHeight="1" x14ac:dyDescent="0.2">
      <c r="C3" s="79" t="str">
        <f>C10</f>
        <v>Facility description</v>
      </c>
      <c r="E3" s="8"/>
      <c r="O3" s="6"/>
      <c r="P3" s="6"/>
      <c r="Q3" s="6"/>
      <c r="R3" s="6"/>
      <c r="S3" s="6"/>
    </row>
    <row r="4" spans="1:32" s="4" customFormat="1" ht="3" customHeight="1" x14ac:dyDescent="0.2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6"/>
      <c r="P4" s="6"/>
      <c r="Q4" s="6"/>
      <c r="R4" s="6"/>
      <c r="S4" s="6"/>
    </row>
    <row r="5" spans="1:32" x14ac:dyDescent="0.2">
      <c r="B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</row>
    <row r="6" spans="1:32" s="4" customFormat="1" ht="15.75" x14ac:dyDescent="0.25">
      <c r="B6" s="16" t="s">
        <v>92</v>
      </c>
      <c r="C6" s="11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P6" s="16" t="s">
        <v>76</v>
      </c>
    </row>
    <row r="7" spans="1:32" outlineLevel="1" x14ac:dyDescent="0.2">
      <c r="B7" s="21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N7" s="23"/>
      <c r="P7" s="75" t="s">
        <v>77</v>
      </c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65"/>
      <c r="AF7" s="76"/>
    </row>
    <row r="8" spans="1:32" ht="25.5" customHeight="1" outlineLevel="1" x14ac:dyDescent="0.2">
      <c r="B8" s="24"/>
      <c r="C8" s="19"/>
      <c r="D8" s="25"/>
      <c r="E8" s="25"/>
      <c r="F8" s="133"/>
      <c r="G8" s="134"/>
      <c r="H8" s="25"/>
      <c r="I8" s="25"/>
      <c r="J8" s="14"/>
      <c r="K8" s="25"/>
      <c r="L8" s="138"/>
      <c r="M8" s="139"/>
      <c r="N8" s="26"/>
      <c r="P8" s="127" t="s">
        <v>78</v>
      </c>
      <c r="Q8" s="128"/>
      <c r="R8" s="128"/>
      <c r="S8" s="128"/>
      <c r="T8" s="128"/>
      <c r="U8" s="128"/>
      <c r="V8" s="128"/>
      <c r="W8" s="128"/>
      <c r="X8" s="74"/>
      <c r="Y8" s="74"/>
      <c r="Z8" s="74"/>
      <c r="AA8" s="74"/>
      <c r="AB8" s="110"/>
      <c r="AC8" s="74"/>
      <c r="AD8" s="110"/>
      <c r="AE8" s="110"/>
      <c r="AF8" s="77"/>
    </row>
    <row r="9" spans="1:32" ht="17.25" customHeight="1" outlineLevel="1" x14ac:dyDescent="0.2">
      <c r="B9" s="24"/>
      <c r="C9" s="99" t="s">
        <v>19</v>
      </c>
      <c r="D9" s="100"/>
      <c r="E9" s="100"/>
      <c r="F9" s="99" t="s">
        <v>22</v>
      </c>
      <c r="G9" s="100"/>
      <c r="H9" s="100"/>
      <c r="I9" s="100"/>
      <c r="J9" s="99" t="s">
        <v>20</v>
      </c>
      <c r="K9" s="100"/>
      <c r="L9" s="99" t="s">
        <v>21</v>
      </c>
      <c r="M9" s="10"/>
      <c r="N9" s="26"/>
      <c r="P9" s="66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77"/>
    </row>
    <row r="10" spans="1:32" ht="30" customHeight="1" outlineLevel="1" x14ac:dyDescent="0.2">
      <c r="B10" s="24"/>
      <c r="C10" s="140" t="s">
        <v>114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2"/>
      <c r="N10" s="26"/>
      <c r="P10" s="66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77"/>
    </row>
    <row r="11" spans="1:32" ht="18" customHeight="1" outlineLevel="1" x14ac:dyDescent="0.2">
      <c r="B11" s="24"/>
      <c r="C11" s="99" t="s">
        <v>119</v>
      </c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6"/>
      <c r="P11" s="66"/>
      <c r="Q11" s="68" t="s">
        <v>136</v>
      </c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77"/>
    </row>
    <row r="12" spans="1:32" ht="30" customHeight="1" outlineLevel="1" x14ac:dyDescent="0.25">
      <c r="B12" s="24"/>
      <c r="C12" s="135"/>
      <c r="D12" s="136"/>
      <c r="E12" s="136"/>
      <c r="F12" s="137"/>
      <c r="G12" s="25"/>
      <c r="H12" s="131" t="s">
        <v>148</v>
      </c>
      <c r="I12" s="132"/>
      <c r="J12" s="25"/>
      <c r="K12" s="140"/>
      <c r="L12" s="143"/>
      <c r="M12" s="134"/>
      <c r="N12" s="26"/>
      <c r="P12" s="66"/>
      <c r="Q12" s="69"/>
      <c r="R12" s="70" t="s">
        <v>79</v>
      </c>
      <c r="S12" s="70" t="s">
        <v>80</v>
      </c>
      <c r="T12" s="70" t="s">
        <v>81</v>
      </c>
      <c r="U12" s="71" t="s">
        <v>99</v>
      </c>
      <c r="V12" s="70" t="s">
        <v>82</v>
      </c>
      <c r="W12" s="70" t="s">
        <v>83</v>
      </c>
      <c r="X12" s="70" t="s">
        <v>84</v>
      </c>
      <c r="Y12" s="71" t="s">
        <v>85</v>
      </c>
      <c r="Z12" s="70" t="s">
        <v>86</v>
      </c>
      <c r="AA12" s="70" t="s">
        <v>154</v>
      </c>
      <c r="AB12" s="112" t="s">
        <v>155</v>
      </c>
      <c r="AC12" s="70" t="s">
        <v>87</v>
      </c>
      <c r="AD12" s="70" t="s">
        <v>156</v>
      </c>
      <c r="AE12" s="71" t="s">
        <v>157</v>
      </c>
      <c r="AF12" s="77"/>
    </row>
    <row r="13" spans="1:32" outlineLevel="1" x14ac:dyDescent="0.2">
      <c r="B13" s="24"/>
      <c r="C13" s="10" t="s">
        <v>23</v>
      </c>
      <c r="D13" s="25"/>
      <c r="E13" s="25"/>
      <c r="F13" s="25"/>
      <c r="G13" s="25"/>
      <c r="H13" s="10" t="s">
        <v>113</v>
      </c>
      <c r="I13" s="10"/>
      <c r="J13" s="25"/>
      <c r="K13" s="10" t="s">
        <v>24</v>
      </c>
      <c r="L13" s="10"/>
      <c r="M13" s="10"/>
      <c r="N13" s="26"/>
      <c r="P13" s="66"/>
      <c r="Q13" s="87" t="s">
        <v>98</v>
      </c>
      <c r="R13" s="87" t="s">
        <v>112</v>
      </c>
      <c r="S13" s="87" t="s">
        <v>159</v>
      </c>
      <c r="T13" s="87" t="s">
        <v>160</v>
      </c>
      <c r="U13" s="87" t="s">
        <v>161</v>
      </c>
      <c r="V13" s="87" t="s">
        <v>127</v>
      </c>
      <c r="W13" s="88" t="s">
        <v>162</v>
      </c>
      <c r="X13" s="88" t="s">
        <v>163</v>
      </c>
      <c r="Y13" s="87" t="s">
        <v>164</v>
      </c>
      <c r="Z13" s="87" t="s">
        <v>88</v>
      </c>
      <c r="AA13" s="87" t="s">
        <v>88</v>
      </c>
      <c r="AB13" s="87" t="s">
        <v>88</v>
      </c>
      <c r="AC13" s="87" t="s">
        <v>91</v>
      </c>
      <c r="AD13" s="114" t="s">
        <v>200</v>
      </c>
      <c r="AE13" s="114" t="s">
        <v>158</v>
      </c>
      <c r="AF13" s="77"/>
    </row>
    <row r="14" spans="1:32" s="4" customFormat="1" ht="22.5" outlineLevel="1" x14ac:dyDescent="0.2">
      <c r="B14" s="24"/>
      <c r="C14" s="10"/>
      <c r="D14" s="25"/>
      <c r="E14" s="25"/>
      <c r="F14" s="25"/>
      <c r="G14" s="25"/>
      <c r="H14" s="10"/>
      <c r="I14" s="10"/>
      <c r="J14" s="25"/>
      <c r="K14" s="10"/>
      <c r="L14" s="10"/>
      <c r="M14" s="10"/>
      <c r="N14" s="26"/>
      <c r="P14" s="66"/>
      <c r="Q14" s="88" t="s">
        <v>137</v>
      </c>
      <c r="R14" s="87" t="s">
        <v>97</v>
      </c>
      <c r="S14" s="87" t="s">
        <v>97</v>
      </c>
      <c r="T14" s="87" t="s">
        <v>97</v>
      </c>
      <c r="U14" s="87" t="s">
        <v>97</v>
      </c>
      <c r="V14" s="87" t="s">
        <v>97</v>
      </c>
      <c r="W14" s="87" t="s">
        <v>97</v>
      </c>
      <c r="X14" s="87" t="s">
        <v>97</v>
      </c>
      <c r="Y14" s="87" t="s">
        <v>97</v>
      </c>
      <c r="Z14" s="87" t="s">
        <v>97</v>
      </c>
      <c r="AA14" s="87" t="s">
        <v>97</v>
      </c>
      <c r="AB14" s="113" t="s">
        <v>97</v>
      </c>
      <c r="AC14" s="87" t="s">
        <v>97</v>
      </c>
      <c r="AD14" s="87" t="s">
        <v>97</v>
      </c>
      <c r="AE14" s="87" t="s">
        <v>97</v>
      </c>
      <c r="AF14" s="77"/>
    </row>
    <row r="15" spans="1:32" s="4" customFormat="1" ht="15.75" outlineLevel="1" x14ac:dyDescent="0.25">
      <c r="B15" s="24"/>
      <c r="C15" s="80" t="s">
        <v>127</v>
      </c>
      <c r="D15" s="25"/>
      <c r="E15" s="25"/>
      <c r="F15" s="80" t="s">
        <v>128</v>
      </c>
      <c r="G15" s="25"/>
      <c r="H15" s="25"/>
      <c r="I15" s="10"/>
      <c r="J15" s="25"/>
      <c r="K15" s="10"/>
      <c r="L15" s="10"/>
      <c r="M15" s="10"/>
      <c r="N15" s="26"/>
      <c r="P15" s="66"/>
      <c r="Q15" s="88" t="s">
        <v>141</v>
      </c>
      <c r="R15" s="87" t="s">
        <v>111</v>
      </c>
      <c r="S15" s="87" t="s">
        <v>111</v>
      </c>
      <c r="T15" s="87" t="s">
        <v>111</v>
      </c>
      <c r="U15" s="87" t="s">
        <v>111</v>
      </c>
      <c r="V15" s="87" t="s">
        <v>111</v>
      </c>
      <c r="W15" s="87" t="s">
        <v>111</v>
      </c>
      <c r="X15" s="87" t="s">
        <v>111</v>
      </c>
      <c r="Y15" s="87" t="s">
        <v>111</v>
      </c>
      <c r="Z15" s="87" t="s">
        <v>111</v>
      </c>
      <c r="AA15" s="87" t="s">
        <v>111</v>
      </c>
      <c r="AB15" s="87" t="s">
        <v>111</v>
      </c>
      <c r="AC15" s="87" t="s">
        <v>111</v>
      </c>
      <c r="AD15" s="87" t="s">
        <v>111</v>
      </c>
      <c r="AE15" s="87" t="s">
        <v>111</v>
      </c>
      <c r="AF15" s="77"/>
    </row>
    <row r="16" spans="1:32" s="4" customFormat="1" outlineLevel="1" x14ac:dyDescent="0.2">
      <c r="B16" s="24"/>
      <c r="C16" s="10" t="s">
        <v>102</v>
      </c>
      <c r="D16" s="25"/>
      <c r="E16" s="25"/>
      <c r="F16" s="10" t="s">
        <v>25</v>
      </c>
      <c r="G16" s="25"/>
      <c r="H16" s="10"/>
      <c r="I16" s="10"/>
      <c r="J16" s="25"/>
      <c r="K16" s="10"/>
      <c r="L16" s="10"/>
      <c r="M16" s="10"/>
      <c r="N16" s="26"/>
      <c r="P16" s="66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77"/>
    </row>
    <row r="17" spans="2:32" s="4" customFormat="1" outlineLevel="1" x14ac:dyDescent="0.2">
      <c r="B17" s="24"/>
      <c r="C17" s="10"/>
      <c r="D17" s="25"/>
      <c r="E17" s="25"/>
      <c r="F17" s="25"/>
      <c r="G17" s="25"/>
      <c r="H17" s="10"/>
      <c r="I17" s="10"/>
      <c r="J17" s="25"/>
      <c r="K17" s="10"/>
      <c r="L17" s="10"/>
      <c r="M17" s="10"/>
      <c r="N17" s="26"/>
      <c r="P17" s="66"/>
      <c r="Q17" s="67"/>
      <c r="R17" s="67"/>
      <c r="S17" s="67"/>
      <c r="T17" s="67"/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77"/>
    </row>
    <row r="18" spans="2:32" s="4" customFormat="1" outlineLevel="1" x14ac:dyDescent="0.2">
      <c r="B18" s="24"/>
      <c r="C18" s="27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6"/>
      <c r="P18" s="72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8"/>
    </row>
    <row r="19" spans="2:32" s="4" customFormat="1" outlineLevel="1" x14ac:dyDescent="0.2">
      <c r="B19" s="28"/>
      <c r="C19" s="48"/>
      <c r="D19" s="29"/>
      <c r="E19" s="29"/>
      <c r="F19" s="29"/>
      <c r="G19" s="48"/>
      <c r="H19" s="29"/>
      <c r="I19" s="29"/>
      <c r="J19" s="29"/>
      <c r="K19" s="48"/>
      <c r="L19" s="29"/>
      <c r="M19" s="29"/>
      <c r="N19" s="30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</row>
    <row r="20" spans="2:32" s="12" customFormat="1" outlineLevel="1" x14ac:dyDescent="0.2">
      <c r="D20" s="18"/>
      <c r="E20" s="17"/>
      <c r="F20" s="17"/>
      <c r="H20" s="17"/>
      <c r="Q20" s="15"/>
    </row>
    <row r="21" spans="2:32" s="12" customFormat="1" outlineLevel="1" x14ac:dyDescent="0.2">
      <c r="B21" s="21"/>
      <c r="C21" s="22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3"/>
      <c r="O21" s="4"/>
      <c r="P21" s="90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76"/>
    </row>
    <row r="22" spans="2:32" s="4" customFormat="1" ht="12.75" customHeight="1" outlineLevel="1" x14ac:dyDescent="0.2">
      <c r="B22" s="24"/>
      <c r="C22" s="27" t="s">
        <v>89</v>
      </c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6"/>
      <c r="P22" s="66"/>
      <c r="Q22" s="109" t="s">
        <v>142</v>
      </c>
      <c r="R22" s="97"/>
      <c r="S22" s="97"/>
      <c r="T22" s="97"/>
      <c r="U22" s="97"/>
      <c r="V22" s="97"/>
      <c r="W22" s="97"/>
      <c r="X22" s="108" t="s">
        <v>138</v>
      </c>
      <c r="Y22" s="97"/>
      <c r="Z22" s="97"/>
      <c r="AA22" s="97"/>
      <c r="AB22" s="97"/>
      <c r="AC22" s="97"/>
      <c r="AD22" s="97"/>
      <c r="AE22" s="97"/>
      <c r="AF22" s="77"/>
    </row>
    <row r="23" spans="2:32" s="4" customFormat="1" outlineLevel="1" x14ac:dyDescent="0.2">
      <c r="B23" s="24"/>
      <c r="C23" s="27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6"/>
      <c r="P23" s="66"/>
      <c r="Q23" s="144" t="s">
        <v>143</v>
      </c>
      <c r="R23" s="144"/>
      <c r="S23" s="144"/>
      <c r="T23" s="144"/>
      <c r="U23" s="144"/>
      <c r="V23" s="97"/>
      <c r="W23" s="97"/>
      <c r="X23" s="97" t="s">
        <v>139</v>
      </c>
      <c r="Y23" s="97"/>
      <c r="Z23" s="97"/>
      <c r="AA23" s="97"/>
      <c r="AB23" s="97"/>
      <c r="AC23" s="97"/>
      <c r="AD23" s="97"/>
      <c r="AE23" s="97"/>
      <c r="AF23" s="77"/>
    </row>
    <row r="24" spans="2:32" s="4" customFormat="1" ht="12.75" customHeight="1" outlineLevel="1" x14ac:dyDescent="0.2">
      <c r="B24" s="24"/>
      <c r="C24" s="27" t="s">
        <v>150</v>
      </c>
      <c r="D24" s="25"/>
      <c r="E24" s="25"/>
      <c r="F24" s="25"/>
      <c r="G24" s="10" t="s">
        <v>151</v>
      </c>
      <c r="H24" s="25"/>
      <c r="I24" s="25"/>
      <c r="J24" s="25"/>
      <c r="K24" s="25"/>
      <c r="L24" s="25"/>
      <c r="M24" s="25"/>
      <c r="N24" s="26"/>
      <c r="P24" s="66"/>
      <c r="Q24" s="144"/>
      <c r="R24" s="144"/>
      <c r="S24" s="144"/>
      <c r="T24" s="144"/>
      <c r="U24" s="144"/>
      <c r="V24" s="97"/>
      <c r="W24" s="97"/>
      <c r="X24" s="97" t="s">
        <v>140</v>
      </c>
      <c r="Y24" s="97"/>
      <c r="Z24" s="97"/>
      <c r="AA24" s="97"/>
      <c r="AB24" s="97"/>
      <c r="AC24" s="97"/>
      <c r="AD24" s="97"/>
      <c r="AE24" s="97"/>
      <c r="AF24" s="77"/>
    </row>
    <row r="25" spans="2:32" s="4" customFormat="1" ht="30" customHeight="1" outlineLevel="1" x14ac:dyDescent="0.25">
      <c r="B25" s="24"/>
      <c r="C25" s="129" t="s">
        <v>111</v>
      </c>
      <c r="D25" s="130"/>
      <c r="E25" s="25"/>
      <c r="F25" s="25"/>
      <c r="G25" s="129" t="s">
        <v>148</v>
      </c>
      <c r="H25" s="130"/>
      <c r="I25" s="25"/>
      <c r="J25" s="25"/>
      <c r="K25" s="129">
        <v>102</v>
      </c>
      <c r="L25" s="130"/>
      <c r="M25" s="25"/>
      <c r="N25" s="26"/>
      <c r="O25" s="4" t="s">
        <v>90</v>
      </c>
      <c r="P25" s="66"/>
      <c r="Q25" s="128" t="s">
        <v>144</v>
      </c>
      <c r="R25" s="128"/>
      <c r="S25" s="128"/>
      <c r="T25" s="128"/>
      <c r="U25" s="128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77"/>
    </row>
    <row r="26" spans="2:32" s="4" customFormat="1" outlineLevel="1" x14ac:dyDescent="0.2">
      <c r="B26" s="24"/>
      <c r="C26" s="10" t="s">
        <v>145</v>
      </c>
      <c r="D26" s="25"/>
      <c r="E26" s="25"/>
      <c r="F26" s="25"/>
      <c r="G26" s="145" t="s">
        <v>149</v>
      </c>
      <c r="H26" s="145"/>
      <c r="I26" s="25"/>
      <c r="J26" s="25" t="s">
        <v>90</v>
      </c>
      <c r="K26" s="10" t="s">
        <v>58</v>
      </c>
      <c r="L26" s="25"/>
      <c r="M26" s="25"/>
      <c r="N26" s="26"/>
      <c r="P26" s="66"/>
      <c r="Q26" s="128"/>
      <c r="R26" s="128"/>
      <c r="S26" s="128"/>
      <c r="T26" s="128"/>
      <c r="U26" s="128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77"/>
    </row>
    <row r="27" spans="2:32" s="4" customFormat="1" outlineLevel="1" x14ac:dyDescent="0.2">
      <c r="B27" s="28"/>
      <c r="C27" s="107" t="s">
        <v>146</v>
      </c>
      <c r="D27" s="29"/>
      <c r="E27" s="29"/>
      <c r="F27" s="29"/>
      <c r="G27" s="48" t="s">
        <v>147</v>
      </c>
      <c r="H27" s="29"/>
      <c r="I27" s="29"/>
      <c r="J27" s="29"/>
      <c r="K27" s="29"/>
      <c r="L27" s="29"/>
      <c r="M27" s="29"/>
      <c r="N27" s="30"/>
      <c r="P27" s="72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8"/>
    </row>
    <row r="28" spans="2:32" x14ac:dyDescent="0.2">
      <c r="O28" s="4"/>
    </row>
    <row r="29" spans="2:32" ht="15.75" x14ac:dyDescent="0.25">
      <c r="B29" s="16" t="s">
        <v>93</v>
      </c>
      <c r="O29" s="4"/>
    </row>
    <row r="30" spans="2:32" s="4" customFormat="1" ht="22.5" customHeight="1" outlineLevel="1" thickBot="1" x14ac:dyDescent="0.25">
      <c r="B30" s="21"/>
      <c r="C30" s="89" t="s">
        <v>115</v>
      </c>
      <c r="D30" s="22"/>
      <c r="E30" s="22"/>
      <c r="F30" s="22"/>
      <c r="G30" s="89" t="s">
        <v>116</v>
      </c>
      <c r="H30" s="89"/>
      <c r="I30" s="22"/>
      <c r="J30" s="22"/>
      <c r="K30" s="22"/>
      <c r="L30" s="22"/>
      <c r="M30" s="22"/>
      <c r="N30" s="23"/>
    </row>
    <row r="31" spans="2:32" s="4" customFormat="1" ht="31.5" customHeight="1" outlineLevel="1" thickBot="1" x14ac:dyDescent="0.3">
      <c r="B31" s="24"/>
      <c r="C31" s="164"/>
      <c r="D31" s="165"/>
      <c r="E31" s="166"/>
      <c r="F31" s="25"/>
      <c r="G31" s="164"/>
      <c r="H31" s="166"/>
      <c r="I31" s="25"/>
      <c r="J31" s="25"/>
      <c r="K31" s="25"/>
      <c r="L31" s="25"/>
      <c r="M31" s="25"/>
      <c r="N31" s="26"/>
    </row>
    <row r="32" spans="2:32" s="4" customFormat="1" outlineLevel="1" x14ac:dyDescent="0.2">
      <c r="B32" s="24"/>
      <c r="C32" s="10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6"/>
    </row>
    <row r="33" spans="2:31" s="4" customFormat="1" outlineLevel="1" x14ac:dyDescent="0.2">
      <c r="B33" s="24"/>
      <c r="C33" s="10" t="s">
        <v>94</v>
      </c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6"/>
    </row>
    <row r="34" spans="2:31" ht="55.5" customHeight="1" outlineLevel="1" x14ac:dyDescent="0.2">
      <c r="B34" s="24"/>
      <c r="C34" s="153"/>
      <c r="D34" s="154"/>
      <c r="E34" s="154"/>
      <c r="F34" s="154"/>
      <c r="G34" s="154"/>
      <c r="H34" s="154"/>
      <c r="I34" s="154"/>
      <c r="J34" s="154"/>
      <c r="K34" s="154"/>
      <c r="L34" s="154"/>
      <c r="M34" s="155"/>
      <c r="N34" s="26"/>
    </row>
    <row r="35" spans="2:31" ht="21" customHeight="1" outlineLevel="1" x14ac:dyDescent="0.2">
      <c r="B35" s="24"/>
      <c r="C35" s="10" t="s">
        <v>95</v>
      </c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6"/>
    </row>
    <row r="36" spans="2:31" ht="58.5" customHeight="1" outlineLevel="1" x14ac:dyDescent="0.2">
      <c r="B36" s="24"/>
      <c r="C36" s="153"/>
      <c r="D36" s="154"/>
      <c r="E36" s="154"/>
      <c r="F36" s="154"/>
      <c r="G36" s="154"/>
      <c r="H36" s="154"/>
      <c r="I36" s="154"/>
      <c r="J36" s="154"/>
      <c r="K36" s="154"/>
      <c r="L36" s="154"/>
      <c r="M36" s="155"/>
      <c r="N36" s="26"/>
    </row>
    <row r="37" spans="2:31" outlineLevel="1" x14ac:dyDescent="0.2">
      <c r="B37" s="24"/>
      <c r="C37" s="10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6"/>
    </row>
    <row r="38" spans="2:31" s="4" customFormat="1" outlineLevel="1" x14ac:dyDescent="0.2">
      <c r="B38" s="24"/>
      <c r="C38" s="10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6"/>
    </row>
    <row r="39" spans="2:31" s="4" customFormat="1" outlineLevel="1" x14ac:dyDescent="0.2">
      <c r="B39" s="24"/>
      <c r="C39" s="20" t="s">
        <v>26</v>
      </c>
      <c r="D39" s="149" t="s">
        <v>21</v>
      </c>
      <c r="E39" s="150"/>
      <c r="F39" s="149" t="s">
        <v>27</v>
      </c>
      <c r="G39" s="150"/>
      <c r="H39" s="149" t="s">
        <v>28</v>
      </c>
      <c r="I39" s="156"/>
      <c r="J39" s="156"/>
      <c r="K39" s="156"/>
      <c r="L39" s="156"/>
      <c r="M39" s="150"/>
      <c r="N39" s="26"/>
    </row>
    <row r="40" spans="2:31" s="4" customFormat="1" outlineLevel="1" x14ac:dyDescent="0.2">
      <c r="B40" s="24"/>
      <c r="C40" s="13" t="s">
        <v>29</v>
      </c>
      <c r="D40" s="138"/>
      <c r="E40" s="139"/>
      <c r="F40" s="151"/>
      <c r="G40" s="152"/>
      <c r="H40" s="151"/>
      <c r="I40" s="157"/>
      <c r="J40" s="157"/>
      <c r="K40" s="157"/>
      <c r="L40" s="157"/>
      <c r="M40" s="152"/>
      <c r="N40" s="26"/>
    </row>
    <row r="41" spans="2:31" s="4" customFormat="1" outlineLevel="1" x14ac:dyDescent="0.2">
      <c r="B41" s="24"/>
      <c r="C41" s="13"/>
      <c r="D41" s="138"/>
      <c r="E41" s="139"/>
      <c r="F41" s="151"/>
      <c r="G41" s="152"/>
      <c r="H41" s="146"/>
      <c r="I41" s="147"/>
      <c r="J41" s="147"/>
      <c r="K41" s="147"/>
      <c r="L41" s="147"/>
      <c r="M41" s="148"/>
      <c r="N41" s="26"/>
    </row>
    <row r="42" spans="2:31" s="4" customFormat="1" outlineLevel="1" x14ac:dyDescent="0.2">
      <c r="B42" s="24"/>
      <c r="C42" s="13"/>
      <c r="D42" s="138"/>
      <c r="E42" s="139"/>
      <c r="F42" s="151"/>
      <c r="G42" s="152"/>
      <c r="H42" s="146"/>
      <c r="I42" s="147"/>
      <c r="J42" s="147"/>
      <c r="K42" s="147"/>
      <c r="L42" s="147"/>
      <c r="M42" s="148"/>
      <c r="N42" s="26"/>
    </row>
    <row r="43" spans="2:31" outlineLevel="1" x14ac:dyDescent="0.2">
      <c r="B43" s="28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30"/>
    </row>
    <row r="45" spans="2:31" s="4" customFormat="1" ht="15.75" x14ac:dyDescent="0.25">
      <c r="B45" s="16" t="s">
        <v>104</v>
      </c>
    </row>
    <row r="46" spans="2:31" s="4" customFormat="1" ht="18" customHeight="1" x14ac:dyDescent="0.2">
      <c r="B46" s="159" t="s">
        <v>105</v>
      </c>
      <c r="C46" s="159"/>
      <c r="D46" s="160" t="s">
        <v>100</v>
      </c>
      <c r="E46" s="160"/>
      <c r="F46" s="160"/>
      <c r="G46" s="84" t="s">
        <v>118</v>
      </c>
      <c r="H46" s="160" t="s">
        <v>30</v>
      </c>
      <c r="I46" s="160"/>
      <c r="J46" s="84" t="s">
        <v>46</v>
      </c>
      <c r="K46" s="84" t="s">
        <v>152</v>
      </c>
      <c r="L46" s="160" t="s">
        <v>101</v>
      </c>
      <c r="M46" s="160"/>
      <c r="N46" s="160"/>
      <c r="P46" s="90"/>
      <c r="Q46" s="91" t="s">
        <v>57</v>
      </c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76"/>
      <c r="AD46" s="67"/>
      <c r="AE46" s="67"/>
    </row>
    <row r="47" spans="2:31" s="95" customFormat="1" x14ac:dyDescent="0.2">
      <c r="B47" s="162"/>
      <c r="C47" s="162"/>
      <c r="D47" s="162"/>
      <c r="E47" s="162"/>
      <c r="F47" s="162"/>
      <c r="G47" s="93"/>
      <c r="H47" s="162"/>
      <c r="I47" s="162"/>
      <c r="J47" s="94"/>
      <c r="K47" s="94"/>
      <c r="L47" s="168"/>
      <c r="M47" s="168"/>
      <c r="N47" s="168"/>
      <c r="P47" s="96"/>
      <c r="Q47" s="167" t="s">
        <v>117</v>
      </c>
      <c r="R47" s="167"/>
      <c r="S47" s="167"/>
      <c r="T47" s="167"/>
      <c r="U47" s="97"/>
      <c r="V47" s="97"/>
      <c r="W47" s="97"/>
      <c r="X47" s="97"/>
      <c r="Y47" s="97"/>
      <c r="Z47" s="97"/>
      <c r="AA47" s="97"/>
      <c r="AB47" s="97"/>
      <c r="AC47" s="98"/>
      <c r="AD47" s="111"/>
      <c r="AE47" s="111"/>
    </row>
    <row r="48" spans="2:31" s="4" customFormat="1" x14ac:dyDescent="0.2">
      <c r="B48" s="161"/>
      <c r="C48" s="161"/>
      <c r="D48" s="158"/>
      <c r="E48" s="158"/>
      <c r="F48" s="158"/>
      <c r="G48" s="83"/>
      <c r="H48" s="158"/>
      <c r="I48" s="158"/>
      <c r="J48" s="82"/>
      <c r="K48" s="82"/>
      <c r="L48" s="163"/>
      <c r="M48" s="163"/>
      <c r="N48" s="163"/>
      <c r="P48" s="66"/>
      <c r="Q48" s="92"/>
      <c r="R48" s="92"/>
      <c r="S48" s="92"/>
      <c r="T48" s="92"/>
      <c r="U48" s="92"/>
      <c r="V48" s="92"/>
      <c r="W48" s="92"/>
      <c r="X48" s="92"/>
      <c r="Y48" s="92"/>
      <c r="Z48" s="92"/>
      <c r="AA48" s="92"/>
      <c r="AB48" s="92"/>
      <c r="AC48" s="77"/>
      <c r="AD48" s="67"/>
      <c r="AE48" s="67"/>
    </row>
    <row r="49" spans="2:31" s="4" customFormat="1" x14ac:dyDescent="0.2">
      <c r="B49" s="161"/>
      <c r="C49" s="161"/>
      <c r="D49" s="158"/>
      <c r="E49" s="158"/>
      <c r="F49" s="158"/>
      <c r="G49" s="83"/>
      <c r="H49" s="158"/>
      <c r="I49" s="158"/>
      <c r="J49" s="82"/>
      <c r="K49" s="82"/>
      <c r="L49" s="163"/>
      <c r="M49" s="163"/>
      <c r="N49" s="163"/>
      <c r="P49" s="66"/>
      <c r="Q49" s="92"/>
      <c r="R49" s="92"/>
      <c r="S49" s="92"/>
      <c r="T49" s="92"/>
      <c r="U49" s="92"/>
      <c r="V49" s="92"/>
      <c r="W49" s="92"/>
      <c r="X49" s="92"/>
      <c r="Y49" s="92"/>
      <c r="Z49" s="92"/>
      <c r="AA49" s="92"/>
      <c r="AB49" s="92"/>
      <c r="AC49" s="77"/>
      <c r="AD49" s="67"/>
      <c r="AE49" s="67"/>
    </row>
    <row r="50" spans="2:31" s="4" customFormat="1" x14ac:dyDescent="0.2">
      <c r="B50" s="161"/>
      <c r="C50" s="161"/>
      <c r="D50" s="158"/>
      <c r="E50" s="158"/>
      <c r="F50" s="158"/>
      <c r="G50" s="83"/>
      <c r="H50" s="158"/>
      <c r="I50" s="158"/>
      <c r="J50" s="82"/>
      <c r="K50" s="82"/>
      <c r="L50" s="163"/>
      <c r="M50" s="163"/>
      <c r="N50" s="163"/>
      <c r="P50" s="66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77"/>
      <c r="AD50" s="67"/>
      <c r="AE50" s="67"/>
    </row>
    <row r="51" spans="2:31" s="4" customFormat="1" x14ac:dyDescent="0.2">
      <c r="B51" s="161"/>
      <c r="C51" s="161"/>
      <c r="D51" s="158"/>
      <c r="E51" s="158"/>
      <c r="F51" s="158"/>
      <c r="G51" s="83"/>
      <c r="H51" s="158"/>
      <c r="I51" s="158"/>
      <c r="J51" s="82"/>
      <c r="K51" s="82"/>
      <c r="L51" s="163"/>
      <c r="M51" s="163"/>
      <c r="N51" s="163"/>
      <c r="P51" s="72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8"/>
      <c r="AD51" s="67"/>
      <c r="AE51" s="67"/>
    </row>
    <row r="52" spans="2:31" s="4" customFormat="1" x14ac:dyDescent="0.2">
      <c r="B52" s="161"/>
      <c r="C52" s="161"/>
      <c r="D52" s="158"/>
      <c r="E52" s="158"/>
      <c r="F52" s="158"/>
      <c r="G52" s="83"/>
      <c r="H52" s="158"/>
      <c r="I52" s="158"/>
      <c r="J52" s="82"/>
      <c r="K52" s="82"/>
      <c r="L52" s="163"/>
      <c r="M52" s="163"/>
      <c r="N52" s="163"/>
    </row>
    <row r="53" spans="2:31" s="4" customFormat="1" x14ac:dyDescent="0.2">
      <c r="B53" s="161"/>
      <c r="C53" s="161"/>
      <c r="D53" s="158"/>
      <c r="E53" s="158"/>
      <c r="F53" s="158"/>
      <c r="G53" s="83"/>
      <c r="H53" s="158"/>
      <c r="I53" s="158"/>
      <c r="J53" s="82"/>
      <c r="K53" s="82"/>
      <c r="L53" s="163"/>
      <c r="M53" s="163"/>
      <c r="N53" s="163"/>
    </row>
    <row r="54" spans="2:31" s="4" customFormat="1" x14ac:dyDescent="0.2">
      <c r="B54" s="161"/>
      <c r="C54" s="161"/>
      <c r="D54" s="158"/>
      <c r="E54" s="158"/>
      <c r="F54" s="158"/>
      <c r="G54" s="83"/>
      <c r="H54" s="158"/>
      <c r="I54" s="158"/>
      <c r="J54" s="82"/>
      <c r="K54" s="82"/>
      <c r="L54" s="163"/>
      <c r="M54" s="163"/>
      <c r="N54" s="163"/>
    </row>
    <row r="55" spans="2:31" s="4" customFormat="1" x14ac:dyDescent="0.2">
      <c r="B55" s="161"/>
      <c r="C55" s="161"/>
      <c r="D55" s="158"/>
      <c r="E55" s="158"/>
      <c r="F55" s="158"/>
      <c r="G55" s="83"/>
      <c r="H55" s="158"/>
      <c r="I55" s="158"/>
      <c r="J55" s="82"/>
      <c r="K55" s="82"/>
      <c r="L55" s="163"/>
      <c r="M55" s="163"/>
      <c r="N55" s="163"/>
    </row>
    <row r="56" spans="2:31" s="4" customFormat="1" x14ac:dyDescent="0.2">
      <c r="B56" s="161"/>
      <c r="C56" s="161"/>
      <c r="D56" s="158"/>
      <c r="E56" s="158"/>
      <c r="F56" s="158"/>
      <c r="G56" s="83"/>
      <c r="H56" s="158"/>
      <c r="I56" s="158"/>
      <c r="J56" s="82"/>
      <c r="K56" s="82"/>
      <c r="L56" s="163"/>
      <c r="M56" s="163"/>
      <c r="N56" s="163"/>
    </row>
    <row r="57" spans="2:31" s="4" customFormat="1" x14ac:dyDescent="0.2">
      <c r="B57" s="161"/>
      <c r="C57" s="161"/>
      <c r="D57" s="158"/>
      <c r="E57" s="158"/>
      <c r="F57" s="158"/>
      <c r="G57" s="83"/>
      <c r="H57" s="158"/>
      <c r="I57" s="158"/>
      <c r="J57" s="82"/>
      <c r="K57" s="82"/>
      <c r="L57" s="163"/>
      <c r="M57" s="163"/>
      <c r="N57" s="163"/>
    </row>
    <row r="58" spans="2:31" s="4" customFormat="1" x14ac:dyDescent="0.2">
      <c r="B58" s="161"/>
      <c r="C58" s="161"/>
      <c r="D58" s="158"/>
      <c r="E58" s="158"/>
      <c r="F58" s="158"/>
      <c r="G58" s="83"/>
      <c r="H58" s="158"/>
      <c r="I58" s="158"/>
      <c r="J58" s="82"/>
      <c r="K58" s="82"/>
      <c r="L58" s="163"/>
      <c r="M58" s="163"/>
      <c r="N58" s="163"/>
    </row>
    <row r="59" spans="2:31" s="4" customFormat="1" x14ac:dyDescent="0.2"/>
    <row r="60" spans="2:31" ht="15.75" x14ac:dyDescent="0.25">
      <c r="B60" s="16" t="s">
        <v>106</v>
      </c>
      <c r="C60" s="4"/>
      <c r="D60" s="4"/>
      <c r="F60" s="4"/>
      <c r="G60" s="4"/>
      <c r="H60" s="4"/>
      <c r="J60" s="4"/>
      <c r="K60" s="4"/>
      <c r="L60" s="4"/>
      <c r="N60" s="4"/>
    </row>
    <row r="61" spans="2:31" outlineLevel="1" x14ac:dyDescent="0.2">
      <c r="B61" s="21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3"/>
    </row>
    <row r="62" spans="2:31" s="4" customFormat="1" ht="10.5" customHeight="1" outlineLevel="1" x14ac:dyDescent="0.2">
      <c r="B62" s="24"/>
      <c r="C62" s="27"/>
      <c r="D62" s="25"/>
      <c r="E62" s="25"/>
      <c r="F62" s="25"/>
      <c r="G62" s="25"/>
      <c r="H62" s="25"/>
      <c r="I62" s="27"/>
      <c r="J62" s="25"/>
      <c r="K62" s="25"/>
      <c r="L62" s="25"/>
      <c r="M62" s="25"/>
      <c r="N62" s="26"/>
    </row>
    <row r="63" spans="2:31" ht="12.75" customHeight="1" outlineLevel="1" x14ac:dyDescent="0.2">
      <c r="B63" s="24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6"/>
    </row>
    <row r="64" spans="2:31" ht="20.100000000000001" customHeight="1" outlineLevel="1" x14ac:dyDescent="0.2">
      <c r="B64" s="24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6"/>
    </row>
    <row r="65" spans="2:17" s="4" customFormat="1" ht="20.100000000000001" customHeight="1" outlineLevel="1" x14ac:dyDescent="0.2">
      <c r="B65" s="24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6"/>
    </row>
    <row r="66" spans="2:17" s="4" customFormat="1" ht="11.25" customHeight="1" outlineLevel="1" x14ac:dyDescent="0.2">
      <c r="B66" s="24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6"/>
    </row>
    <row r="67" spans="2:17" s="6" customFormat="1" ht="24" customHeight="1" outlineLevel="1" x14ac:dyDescent="0.2">
      <c r="B67" s="24"/>
      <c r="C67" s="27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6"/>
    </row>
    <row r="68" spans="2:17" s="6" customFormat="1" ht="20.100000000000001" customHeight="1" outlineLevel="1" x14ac:dyDescent="0.2">
      <c r="B68" s="24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6"/>
      <c r="Q68" s="11"/>
    </row>
    <row r="69" spans="2:17" ht="20.100000000000001" customHeight="1" outlineLevel="1" x14ac:dyDescent="0.2">
      <c r="B69" s="24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6"/>
    </row>
    <row r="70" spans="2:17" s="4" customFormat="1" ht="19.5" customHeight="1" outlineLevel="1" x14ac:dyDescent="0.2">
      <c r="B70" s="24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6"/>
    </row>
    <row r="71" spans="2:17" s="4" customFormat="1" ht="19.5" customHeight="1" outlineLevel="1" x14ac:dyDescent="0.2">
      <c r="B71" s="24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6"/>
    </row>
    <row r="72" spans="2:17" s="4" customFormat="1" ht="19.5" customHeight="1" outlineLevel="1" x14ac:dyDescent="0.2">
      <c r="B72" s="24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6"/>
    </row>
    <row r="73" spans="2:17" s="4" customFormat="1" ht="19.5" customHeight="1" outlineLevel="1" x14ac:dyDescent="0.2">
      <c r="B73" s="24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6"/>
    </row>
    <row r="74" spans="2:17" s="4" customFormat="1" ht="19.5" customHeight="1" outlineLevel="1" x14ac:dyDescent="0.2">
      <c r="B74" s="24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6"/>
    </row>
    <row r="75" spans="2:17" outlineLevel="1" x14ac:dyDescent="0.2">
      <c r="B75" s="28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30"/>
    </row>
    <row r="76" spans="2:17" x14ac:dyDescent="0.2">
      <c r="B76" s="5"/>
    </row>
  </sheetData>
  <customSheetViews>
    <customSheetView guid="{2E70E708-B73C-4323-9253-4875EF82DB2B}" scale="90" showGridLines="0" hiddenRows="1">
      <pane ySplit="2" topLeftCell="A3" activePane="bottomLeft" state="frozen"/>
      <selection pane="bottomLeft" activeCell="R12" sqref="R12"/>
    </customSheetView>
  </customSheetViews>
  <mergeCells count="83">
    <mergeCell ref="C31:E31"/>
    <mergeCell ref="G31:H31"/>
    <mergeCell ref="Q47:T47"/>
    <mergeCell ref="L56:N56"/>
    <mergeCell ref="L57:N57"/>
    <mergeCell ref="B52:C52"/>
    <mergeCell ref="B53:C53"/>
    <mergeCell ref="L46:N46"/>
    <mergeCell ref="L47:N47"/>
    <mergeCell ref="L48:N48"/>
    <mergeCell ref="L49:N49"/>
    <mergeCell ref="L50:N50"/>
    <mergeCell ref="B50:C50"/>
    <mergeCell ref="B51:C51"/>
    <mergeCell ref="H46:I46"/>
    <mergeCell ref="D49:F49"/>
    <mergeCell ref="L58:N58"/>
    <mergeCell ref="L51:N51"/>
    <mergeCell ref="L52:N52"/>
    <mergeCell ref="L53:N53"/>
    <mergeCell ref="L54:N54"/>
    <mergeCell ref="L55:N55"/>
    <mergeCell ref="D50:F50"/>
    <mergeCell ref="B57:C57"/>
    <mergeCell ref="B58:C58"/>
    <mergeCell ref="H47:I47"/>
    <mergeCell ref="H48:I48"/>
    <mergeCell ref="H49:I49"/>
    <mergeCell ref="H50:I50"/>
    <mergeCell ref="H51:I51"/>
    <mergeCell ref="H52:I52"/>
    <mergeCell ref="H53:I53"/>
    <mergeCell ref="H54:I54"/>
    <mergeCell ref="H55:I55"/>
    <mergeCell ref="H56:I56"/>
    <mergeCell ref="H57:I57"/>
    <mergeCell ref="H58:I58"/>
    <mergeCell ref="D56:F56"/>
    <mergeCell ref="D57:F57"/>
    <mergeCell ref="D58:F58"/>
    <mergeCell ref="B46:C46"/>
    <mergeCell ref="D46:F46"/>
    <mergeCell ref="D51:F51"/>
    <mergeCell ref="D52:F52"/>
    <mergeCell ref="D53:F53"/>
    <mergeCell ref="D54:F54"/>
    <mergeCell ref="D55:F55"/>
    <mergeCell ref="B54:C54"/>
    <mergeCell ref="B55:C55"/>
    <mergeCell ref="B56:C56"/>
    <mergeCell ref="B47:C47"/>
    <mergeCell ref="B48:C48"/>
    <mergeCell ref="B49:C49"/>
    <mergeCell ref="D47:F47"/>
    <mergeCell ref="D48:F48"/>
    <mergeCell ref="D39:E39"/>
    <mergeCell ref="D40:E40"/>
    <mergeCell ref="D41:E41"/>
    <mergeCell ref="D42:E42"/>
    <mergeCell ref="C34:M34"/>
    <mergeCell ref="C36:M36"/>
    <mergeCell ref="H39:M39"/>
    <mergeCell ref="H40:M40"/>
    <mergeCell ref="H41:M41"/>
    <mergeCell ref="H42:M42"/>
    <mergeCell ref="F39:G39"/>
    <mergeCell ref="F40:G40"/>
    <mergeCell ref="F41:G41"/>
    <mergeCell ref="F42:G42"/>
    <mergeCell ref="C2:O2"/>
    <mergeCell ref="P8:W8"/>
    <mergeCell ref="C25:D25"/>
    <mergeCell ref="G25:H25"/>
    <mergeCell ref="K25:L25"/>
    <mergeCell ref="H12:I12"/>
    <mergeCell ref="F8:G8"/>
    <mergeCell ref="C12:F12"/>
    <mergeCell ref="L8:M8"/>
    <mergeCell ref="C10:M10"/>
    <mergeCell ref="K12:M12"/>
    <mergeCell ref="Q23:U24"/>
    <mergeCell ref="Q25:U26"/>
    <mergeCell ref="G26:H26"/>
  </mergeCells>
  <conditionalFormatting sqref="P12:P16">
    <cfRule type="iconSet" priority="4">
      <iconSet iconSet="3TrafficLights2">
        <cfvo type="percent" val="0"/>
        <cfvo type="percent" val="33"/>
        <cfvo type="percent" val="67"/>
      </iconSet>
    </cfRule>
  </conditionalFormatting>
  <conditionalFormatting sqref="O10">
    <cfRule type="iconSet" priority="2">
      <iconSet>
        <cfvo type="percent" val="0"/>
        <cfvo type="percent" val="33"/>
        <cfvo type="percent" val="67"/>
      </iconSet>
    </cfRule>
  </conditionalFormatting>
  <conditionalFormatting sqref="P10">
    <cfRule type="iconSet" priority="1">
      <iconSet>
        <cfvo type="percent" val="0"/>
        <cfvo type="percent" val="33"/>
        <cfvo type="percent" val="67"/>
      </iconSet>
    </cfRule>
  </conditionalFormatting>
  <dataValidations count="3">
    <dataValidation type="textLength" operator="equal" allowBlank="1" showInputMessage="1" showErrorMessage="1" error="The TSAP information consists of 8 digitis" sqref="G25:H25">
      <formula1>8</formula1>
    </dataValidation>
    <dataValidation type="textLength" operator="equal" allowBlank="1" showInputMessage="1" showErrorMessage="1" error="The IPS-L Destination consists of 8 digits" sqref="G15 C15">
      <formula1>8</formula1>
    </dataValidation>
    <dataValidation type="textLength" operator="equal" allowBlank="1" showInputMessage="1" showErrorMessage="1" error="The PLC AKZ consists of 8 digits" sqref="H12">
      <formula1>8</formula1>
    </dataValidation>
  </dataValidation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rowBreaks count="1" manualBreakCount="1">
    <brk id="44" max="13" man="1"/>
  </rowBreaks>
  <drawing r:id="rId2"/>
  <legacyDrawing r:id="rId3"/>
  <controls>
    <mc:AlternateContent xmlns:mc="http://schemas.openxmlformats.org/markup-compatibility/2006">
      <mc:Choice Requires="x14">
        <control shapeId="11275" r:id="rId4" name="SPS_PING">
          <controlPr defaultSize="0" autoLine="0" r:id="rId5">
            <anchor moveWithCells="1">
              <from>
                <xdr:col>1</xdr:col>
                <xdr:colOff>647700</xdr:colOff>
                <xdr:row>66</xdr:row>
                <xdr:rowOff>47625</xdr:rowOff>
              </from>
              <to>
                <xdr:col>4</xdr:col>
                <xdr:colOff>0</xdr:colOff>
                <xdr:row>66</xdr:row>
                <xdr:rowOff>285750</xdr:rowOff>
              </to>
            </anchor>
          </controlPr>
        </control>
      </mc:Choice>
      <mc:Fallback>
        <control shapeId="11275" r:id="rId4" name="SPS_PING"/>
      </mc:Fallback>
    </mc:AlternateContent>
    <mc:AlternateContent xmlns:mc="http://schemas.openxmlformats.org/markup-compatibility/2006">
      <mc:Choice Requires="x14">
        <control shapeId="11274" r:id="rId6" name="SPSDELET">
          <controlPr defaultSize="0" autoLine="0" r:id="rId7">
            <anchor moveWithCells="1">
              <from>
                <xdr:col>7</xdr:col>
                <xdr:colOff>542925</xdr:colOff>
                <xdr:row>60</xdr:row>
                <xdr:rowOff>133350</xdr:rowOff>
              </from>
              <to>
                <xdr:col>10</xdr:col>
                <xdr:colOff>247650</xdr:colOff>
                <xdr:row>62</xdr:row>
                <xdr:rowOff>85725</xdr:rowOff>
              </to>
            </anchor>
          </controlPr>
        </control>
      </mc:Choice>
      <mc:Fallback>
        <control shapeId="11274" r:id="rId6" name="SPSDELET"/>
      </mc:Fallback>
    </mc:AlternateContent>
    <mc:AlternateContent xmlns:mc="http://schemas.openxmlformats.org/markup-compatibility/2006">
      <mc:Choice Requires="x14">
        <control shapeId="11273" r:id="rId8" name="SPSDATEN">
          <controlPr defaultSize="0" autoLine="0" r:id="rId9">
            <anchor moveWithCells="1">
              <from>
                <xdr:col>1</xdr:col>
                <xdr:colOff>666750</xdr:colOff>
                <xdr:row>60</xdr:row>
                <xdr:rowOff>95250</xdr:rowOff>
              </from>
              <to>
                <xdr:col>3</xdr:col>
                <xdr:colOff>495300</xdr:colOff>
                <xdr:row>62</xdr:row>
                <xdr:rowOff>66675</xdr:rowOff>
              </to>
            </anchor>
          </controlPr>
        </control>
      </mc:Choice>
      <mc:Fallback>
        <control shapeId="11273" r:id="rId8" name="SPSDATEN"/>
      </mc:Fallback>
    </mc:AlternateContent>
    <mc:AlternateContent xmlns:mc="http://schemas.openxmlformats.org/markup-compatibility/2006">
      <mc:Choice Requires="x14">
        <control shapeId="11276" r:id="rId10" name="SPSFRGIO">
          <controlPr defaultSize="0" autoLine="0" r:id="rId11">
            <anchor moveWithCells="1">
              <from>
                <xdr:col>7</xdr:col>
                <xdr:colOff>533400</xdr:colOff>
                <xdr:row>66</xdr:row>
                <xdr:rowOff>104775</xdr:rowOff>
              </from>
              <to>
                <xdr:col>10</xdr:col>
                <xdr:colOff>238125</xdr:colOff>
                <xdr:row>67</xdr:row>
                <xdr:rowOff>47625</xdr:rowOff>
              </to>
            </anchor>
          </controlPr>
        </control>
      </mc:Choice>
      <mc:Fallback>
        <control shapeId="11276" r:id="rId10" name="SPSFRGIO"/>
      </mc:Fallback>
    </mc:AlternateContent>
    <mc:AlternateContent xmlns:mc="http://schemas.openxmlformats.org/markup-compatibility/2006">
      <mc:Choice Requires="x14">
        <control shapeId="11277" r:id="rId12" name="SPSWERTE">
          <controlPr defaultSize="0" autoLine="0" r:id="rId13">
            <anchor moveWithCells="1">
              <from>
                <xdr:col>1</xdr:col>
                <xdr:colOff>628650</xdr:colOff>
                <xdr:row>70</xdr:row>
                <xdr:rowOff>133350</xdr:rowOff>
              </from>
              <to>
                <xdr:col>3</xdr:col>
                <xdr:colOff>571500</xdr:colOff>
                <xdr:row>71</xdr:row>
                <xdr:rowOff>123825</xdr:rowOff>
              </to>
            </anchor>
          </controlPr>
        </control>
      </mc:Choice>
      <mc:Fallback>
        <control shapeId="11277" r:id="rId12" name="SPSWERTE"/>
      </mc:Fallback>
    </mc:AlternateContent>
    <mc:AlternateContent xmlns:mc="http://schemas.openxmlformats.org/markup-compatibility/2006">
      <mc:Choice Requires="x14">
        <control shapeId="11279" r:id="rId14" name="CP_Communication">
          <controlPr defaultSize="0" autoLine="0" r:id="rId15">
            <anchor moveWithCells="1">
              <from>
                <xdr:col>3</xdr:col>
                <xdr:colOff>457200</xdr:colOff>
                <xdr:row>20</xdr:row>
                <xdr:rowOff>123825</xdr:rowOff>
              </from>
              <to>
                <xdr:col>6</xdr:col>
                <xdr:colOff>619125</xdr:colOff>
                <xdr:row>22</xdr:row>
                <xdr:rowOff>66675</xdr:rowOff>
              </to>
            </anchor>
          </controlPr>
        </control>
      </mc:Choice>
      <mc:Fallback>
        <control shapeId="11279" r:id="rId14" name="CP_Communicat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B2:G15"/>
  <sheetViews>
    <sheetView showGridLines="0" zoomScaleNormal="100" workbookViewId="0">
      <selection activeCell="Q2" sqref="Q2"/>
    </sheetView>
  </sheetViews>
  <sheetFormatPr baseColWidth="10" defaultRowHeight="12.75" x14ac:dyDescent="0.2"/>
  <cols>
    <col min="1" max="1" width="3.7109375" customWidth="1"/>
    <col min="2" max="2" width="13.85546875" customWidth="1"/>
    <col min="3" max="3" width="12.5703125" customWidth="1"/>
    <col min="4" max="4" width="13.5703125" bestFit="1" customWidth="1"/>
    <col min="5" max="5" width="16.140625" customWidth="1"/>
    <col min="6" max="6" width="14.7109375" bestFit="1" customWidth="1"/>
    <col min="7" max="7" width="52.85546875" bestFit="1" customWidth="1"/>
  </cols>
  <sheetData>
    <row r="2" spans="2:7" ht="20.25" x14ac:dyDescent="0.3">
      <c r="B2" s="7" t="s">
        <v>130</v>
      </c>
    </row>
    <row r="4" spans="2:7" x14ac:dyDescent="0.2">
      <c r="B4" s="5" t="s">
        <v>121</v>
      </c>
    </row>
    <row r="5" spans="2:7" ht="13.5" thickBot="1" x14ac:dyDescent="0.25"/>
    <row r="6" spans="2:7" ht="16.5" thickBot="1" x14ac:dyDescent="0.25">
      <c r="B6" s="1" t="s">
        <v>10</v>
      </c>
      <c r="C6" s="2" t="s">
        <v>11</v>
      </c>
      <c r="D6" s="3" t="s">
        <v>12</v>
      </c>
      <c r="E6" s="2" t="s">
        <v>13</v>
      </c>
      <c r="F6" s="2" t="s">
        <v>6</v>
      </c>
      <c r="G6" s="2" t="s">
        <v>14</v>
      </c>
    </row>
    <row r="7" spans="2:7" ht="26.25" thickBot="1" x14ac:dyDescent="0.25">
      <c r="B7" s="31" t="s">
        <v>0</v>
      </c>
      <c r="C7" s="32">
        <v>8</v>
      </c>
      <c r="D7" s="36" t="s">
        <v>34</v>
      </c>
      <c r="E7" s="102" t="str">
        <f>Filled_by_requestor!H12</f>
        <v>TMOAKZ01</v>
      </c>
      <c r="F7" s="37" t="s">
        <v>16</v>
      </c>
      <c r="G7" s="38" t="s">
        <v>18</v>
      </c>
    </row>
    <row r="8" spans="2:7" ht="26.25" thickBot="1" x14ac:dyDescent="0.25">
      <c r="B8" s="33" t="s">
        <v>1</v>
      </c>
      <c r="C8" s="34">
        <v>8</v>
      </c>
      <c r="D8" s="39" t="s">
        <v>35</v>
      </c>
      <c r="E8" s="102" t="str">
        <f>Filled_by_requestor!C15</f>
        <v>BVIS0610</v>
      </c>
      <c r="F8" s="37" t="s">
        <v>16</v>
      </c>
      <c r="G8" s="40" t="s">
        <v>32</v>
      </c>
    </row>
    <row r="9" spans="2:7" ht="26.25" thickBot="1" x14ac:dyDescent="0.25">
      <c r="B9" s="33" t="s">
        <v>2</v>
      </c>
      <c r="C9" s="34">
        <v>8</v>
      </c>
      <c r="D9" s="39" t="s">
        <v>5</v>
      </c>
      <c r="E9" s="103" t="s">
        <v>30</v>
      </c>
      <c r="F9" s="37" t="s">
        <v>16</v>
      </c>
      <c r="G9" s="35" t="s">
        <v>15</v>
      </c>
    </row>
    <row r="10" spans="2:7" ht="26.25" thickBot="1" x14ac:dyDescent="0.25">
      <c r="B10" s="33" t="s">
        <v>3</v>
      </c>
      <c r="C10" s="34">
        <v>4</v>
      </c>
      <c r="D10" s="39" t="s">
        <v>7</v>
      </c>
      <c r="E10" s="103" t="s">
        <v>134</v>
      </c>
      <c r="F10" s="37" t="s">
        <v>16</v>
      </c>
      <c r="G10" s="35" t="s">
        <v>135</v>
      </c>
    </row>
    <row r="11" spans="2:7" ht="26.25" thickBot="1" x14ac:dyDescent="0.25">
      <c r="B11" s="33" t="s">
        <v>4</v>
      </c>
      <c r="C11" s="34">
        <v>4</v>
      </c>
      <c r="D11" s="39" t="s">
        <v>31</v>
      </c>
      <c r="E11" s="104" t="s">
        <v>129</v>
      </c>
      <c r="F11" s="41" t="s">
        <v>17</v>
      </c>
      <c r="G11" s="35" t="s">
        <v>125</v>
      </c>
    </row>
    <row r="12" spans="2:7" ht="26.25" thickBot="1" x14ac:dyDescent="0.25">
      <c r="B12" s="42" t="s">
        <v>36</v>
      </c>
      <c r="C12" s="34">
        <v>2</v>
      </c>
      <c r="D12" s="39" t="s">
        <v>33</v>
      </c>
      <c r="E12" s="102" t="str">
        <f>Filled_by_requestor!F15</f>
        <v>FZ</v>
      </c>
      <c r="F12" s="37" t="s">
        <v>16</v>
      </c>
      <c r="G12" s="35" t="s">
        <v>9</v>
      </c>
    </row>
    <row r="13" spans="2:7" s="4" customFormat="1" ht="62.25" customHeight="1" thickBot="1" x14ac:dyDescent="0.25">
      <c r="B13" s="42" t="s">
        <v>37</v>
      </c>
      <c r="C13" s="34">
        <v>12</v>
      </c>
      <c r="D13" s="39" t="s">
        <v>38</v>
      </c>
      <c r="E13" s="103" t="s">
        <v>39</v>
      </c>
      <c r="F13" s="41" t="s">
        <v>17</v>
      </c>
      <c r="G13" s="101" t="s">
        <v>120</v>
      </c>
    </row>
    <row r="14" spans="2:7" s="4" customFormat="1" ht="15.75" thickBot="1" x14ac:dyDescent="0.25">
      <c r="B14" s="42" t="s">
        <v>42</v>
      </c>
      <c r="C14" s="34">
        <v>6</v>
      </c>
      <c r="D14" s="39" t="s">
        <v>41</v>
      </c>
      <c r="E14" s="103" t="s">
        <v>43</v>
      </c>
      <c r="F14" s="41" t="s">
        <v>17</v>
      </c>
      <c r="G14" s="35" t="s">
        <v>44</v>
      </c>
    </row>
    <row r="15" spans="2:7" s="4" customFormat="1" ht="15.75" thickBot="1" x14ac:dyDescent="0.25">
      <c r="B15" s="43" t="s">
        <v>45</v>
      </c>
      <c r="C15" s="44">
        <v>8</v>
      </c>
      <c r="D15" s="45" t="s">
        <v>55</v>
      </c>
      <c r="E15" s="105"/>
      <c r="F15" s="46"/>
      <c r="G15" s="47" t="s">
        <v>56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B2:H15"/>
  <sheetViews>
    <sheetView showGridLines="0" zoomScaleNormal="100" workbookViewId="0">
      <selection activeCell="Q2" sqref="Q2"/>
    </sheetView>
  </sheetViews>
  <sheetFormatPr baseColWidth="10" defaultRowHeight="12.75" x14ac:dyDescent="0.2"/>
  <cols>
    <col min="1" max="1" width="3.7109375" customWidth="1"/>
    <col min="2" max="2" width="13.42578125" customWidth="1"/>
    <col min="3" max="3" width="12.7109375" customWidth="1"/>
    <col min="4" max="4" width="14.42578125" customWidth="1"/>
    <col min="5" max="5" width="16.85546875" bestFit="1" customWidth="1"/>
    <col min="6" max="6" width="16.5703125" customWidth="1"/>
    <col min="7" max="7" width="46.140625" customWidth="1"/>
  </cols>
  <sheetData>
    <row r="2" spans="2:8" ht="20.25" x14ac:dyDescent="0.3">
      <c r="B2" s="7" t="s">
        <v>131</v>
      </c>
      <c r="C2" s="4"/>
      <c r="D2" s="4"/>
      <c r="E2" s="4"/>
      <c r="F2" s="4"/>
      <c r="G2" s="4"/>
    </row>
    <row r="3" spans="2:8" x14ac:dyDescent="0.2">
      <c r="B3" s="4"/>
      <c r="C3" s="4"/>
      <c r="D3" s="4"/>
      <c r="E3" s="4"/>
      <c r="F3" s="4"/>
      <c r="G3" s="4"/>
    </row>
    <row r="4" spans="2:8" x14ac:dyDescent="0.2">
      <c r="B4" s="5" t="s">
        <v>122</v>
      </c>
      <c r="C4" s="4"/>
      <c r="D4" s="4"/>
      <c r="E4" s="4"/>
      <c r="F4" s="4"/>
      <c r="G4" s="4"/>
    </row>
    <row r="5" spans="2:8" ht="13.5" thickBot="1" x14ac:dyDescent="0.25">
      <c r="B5" s="4"/>
      <c r="C5" s="4"/>
      <c r="D5" s="4"/>
      <c r="E5" s="4"/>
      <c r="F5" s="4"/>
      <c r="G5" s="4"/>
    </row>
    <row r="6" spans="2:8" ht="16.5" thickBot="1" x14ac:dyDescent="0.25">
      <c r="B6" s="1" t="s">
        <v>10</v>
      </c>
      <c r="C6" s="2" t="s">
        <v>11</v>
      </c>
      <c r="D6" s="3" t="s">
        <v>12</v>
      </c>
      <c r="E6" s="2" t="s">
        <v>13</v>
      </c>
      <c r="F6" s="2" t="s">
        <v>6</v>
      </c>
      <c r="G6" s="2" t="s">
        <v>14</v>
      </c>
    </row>
    <row r="7" spans="2:8" ht="39" thickBot="1" x14ac:dyDescent="0.25">
      <c r="B7" s="31" t="s">
        <v>0</v>
      </c>
      <c r="C7" s="32">
        <v>8</v>
      </c>
      <c r="D7" s="36" t="s">
        <v>34</v>
      </c>
      <c r="E7" s="102" t="str">
        <f>Filled_by_requestor!H12</f>
        <v>TMOAKZ01</v>
      </c>
      <c r="F7" s="37" t="s">
        <v>16</v>
      </c>
      <c r="G7" s="38" t="s">
        <v>18</v>
      </c>
    </row>
    <row r="8" spans="2:8" ht="26.25" thickBot="1" x14ac:dyDescent="0.25">
      <c r="B8" s="33" t="s">
        <v>1</v>
      </c>
      <c r="C8" s="34">
        <v>8</v>
      </c>
      <c r="D8" s="39" t="s">
        <v>35</v>
      </c>
      <c r="E8" s="102" t="str">
        <f>Filled_by_requestor!C15</f>
        <v>BVIS0610</v>
      </c>
      <c r="F8" s="37" t="s">
        <v>16</v>
      </c>
      <c r="G8" s="40" t="s">
        <v>32</v>
      </c>
    </row>
    <row r="9" spans="2:8" ht="26.25" thickBot="1" x14ac:dyDescent="0.25">
      <c r="B9" s="33" t="s">
        <v>2</v>
      </c>
      <c r="C9" s="34">
        <v>8</v>
      </c>
      <c r="D9" s="39" t="s">
        <v>5</v>
      </c>
      <c r="E9" s="103" t="s">
        <v>46</v>
      </c>
      <c r="F9" s="37" t="s">
        <v>16</v>
      </c>
      <c r="G9" s="35" t="s">
        <v>15</v>
      </c>
    </row>
    <row r="10" spans="2:8" ht="26.25" thickBot="1" x14ac:dyDescent="0.25">
      <c r="B10" s="33" t="s">
        <v>3</v>
      </c>
      <c r="C10" s="34">
        <v>4</v>
      </c>
      <c r="D10" s="39" t="s">
        <v>7</v>
      </c>
      <c r="E10" s="103" t="s">
        <v>134</v>
      </c>
      <c r="F10" s="37" t="s">
        <v>16</v>
      </c>
      <c r="G10" s="35" t="s">
        <v>135</v>
      </c>
      <c r="H10" s="5"/>
    </row>
    <row r="11" spans="2:8" ht="39" thickBot="1" x14ac:dyDescent="0.25">
      <c r="B11" s="33" t="s">
        <v>4</v>
      </c>
      <c r="C11" s="34">
        <v>4</v>
      </c>
      <c r="D11" s="39" t="s">
        <v>31</v>
      </c>
      <c r="E11" s="104" t="s">
        <v>129</v>
      </c>
      <c r="F11" s="41" t="s">
        <v>17</v>
      </c>
      <c r="G11" s="35" t="s">
        <v>125</v>
      </c>
    </row>
    <row r="12" spans="2:8" ht="26.25" thickBot="1" x14ac:dyDescent="0.25">
      <c r="B12" s="42" t="s">
        <v>36</v>
      </c>
      <c r="C12" s="34">
        <v>2</v>
      </c>
      <c r="D12" s="39" t="s">
        <v>33</v>
      </c>
      <c r="E12" s="102" t="str">
        <f>Filled_by_requestor!F15</f>
        <v>FZ</v>
      </c>
      <c r="F12" s="37" t="s">
        <v>16</v>
      </c>
      <c r="G12" s="35" t="s">
        <v>9</v>
      </c>
    </row>
    <row r="13" spans="2:8" ht="26.25" thickBot="1" x14ac:dyDescent="0.25">
      <c r="B13" s="42" t="s">
        <v>37</v>
      </c>
      <c r="C13" s="34">
        <v>12</v>
      </c>
      <c r="D13" s="39" t="s">
        <v>38</v>
      </c>
      <c r="E13" s="103" t="s">
        <v>47</v>
      </c>
      <c r="F13" s="41" t="s">
        <v>17</v>
      </c>
      <c r="G13" s="35" t="s">
        <v>48</v>
      </c>
      <c r="H13" s="4"/>
    </row>
    <row r="14" spans="2:8" ht="15.75" thickBot="1" x14ac:dyDescent="0.25">
      <c r="B14" s="42" t="s">
        <v>42</v>
      </c>
      <c r="C14" s="34">
        <v>6</v>
      </c>
      <c r="D14" s="39" t="s">
        <v>41</v>
      </c>
      <c r="E14" s="103" t="s">
        <v>51</v>
      </c>
      <c r="F14" s="41" t="s">
        <v>17</v>
      </c>
      <c r="G14" s="35" t="s">
        <v>53</v>
      </c>
    </row>
    <row r="15" spans="2:8" ht="15.75" thickBot="1" x14ac:dyDescent="0.25">
      <c r="B15" s="43" t="s">
        <v>45</v>
      </c>
      <c r="C15" s="44">
        <v>8</v>
      </c>
      <c r="D15" s="45" t="s">
        <v>55</v>
      </c>
      <c r="E15" s="105"/>
      <c r="F15" s="46"/>
      <c r="G15" s="47" t="s">
        <v>56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G17"/>
  <sheetViews>
    <sheetView showGridLines="0" zoomScaleNormal="100" workbookViewId="0">
      <selection activeCell="Q2" sqref="Q2"/>
    </sheetView>
  </sheetViews>
  <sheetFormatPr baseColWidth="10" defaultRowHeight="12.75" x14ac:dyDescent="0.2"/>
  <cols>
    <col min="1" max="1" width="3.7109375" style="4" customWidth="1"/>
    <col min="2" max="2" width="12.42578125" style="4" customWidth="1"/>
    <col min="3" max="3" width="13.5703125" style="4" customWidth="1"/>
    <col min="4" max="4" width="13.5703125" style="4" bestFit="1" customWidth="1"/>
    <col min="5" max="5" width="16.85546875" style="4" bestFit="1" customWidth="1"/>
    <col min="6" max="6" width="14.7109375" style="4" bestFit="1" customWidth="1"/>
    <col min="7" max="7" width="45.7109375" style="4" customWidth="1"/>
    <col min="8" max="16384" width="11.42578125" style="4"/>
  </cols>
  <sheetData>
    <row r="2" spans="2:7" ht="20.25" x14ac:dyDescent="0.3">
      <c r="B2" s="7" t="s">
        <v>133</v>
      </c>
    </row>
    <row r="4" spans="2:7" x14ac:dyDescent="0.2">
      <c r="B4" s="169" t="s">
        <v>153</v>
      </c>
      <c r="C4" s="169"/>
      <c r="D4" s="169"/>
      <c r="E4" s="169"/>
      <c r="F4" s="169"/>
      <c r="G4" s="169"/>
    </row>
    <row r="5" spans="2:7" x14ac:dyDescent="0.2">
      <c r="B5" s="86" t="s">
        <v>110</v>
      </c>
      <c r="C5" s="86"/>
      <c r="D5" s="86"/>
      <c r="E5" s="86"/>
      <c r="F5" s="86"/>
      <c r="G5" s="86"/>
    </row>
    <row r="6" spans="2:7" x14ac:dyDescent="0.2">
      <c r="B6" s="85" t="s">
        <v>109</v>
      </c>
      <c r="C6" s="81"/>
      <c r="D6" s="81"/>
      <c r="E6" s="81"/>
      <c r="F6" s="81"/>
      <c r="G6" s="81"/>
    </row>
    <row r="7" spans="2:7" ht="13.5" thickBot="1" x14ac:dyDescent="0.25">
      <c r="B7" s="5"/>
    </row>
    <row r="8" spans="2:7" ht="16.5" thickBot="1" x14ac:dyDescent="0.25">
      <c r="B8" s="1" t="s">
        <v>10</v>
      </c>
      <c r="C8" s="2" t="s">
        <v>11</v>
      </c>
      <c r="D8" s="3" t="s">
        <v>12</v>
      </c>
      <c r="E8" s="2" t="s">
        <v>13</v>
      </c>
      <c r="F8" s="2" t="s">
        <v>6</v>
      </c>
      <c r="G8" s="2" t="s">
        <v>14</v>
      </c>
    </row>
    <row r="9" spans="2:7" ht="26.25" thickBot="1" x14ac:dyDescent="0.25">
      <c r="B9" s="31" t="s">
        <v>0</v>
      </c>
      <c r="C9" s="32">
        <v>8</v>
      </c>
      <c r="D9" s="36" t="s">
        <v>34</v>
      </c>
      <c r="E9" s="102" t="str">
        <f>Filled_by_requestor!C15</f>
        <v>BVIS0610</v>
      </c>
      <c r="F9" s="37" t="s">
        <v>16</v>
      </c>
      <c r="G9" s="38" t="s">
        <v>32</v>
      </c>
    </row>
    <row r="10" spans="2:7" ht="39" thickBot="1" x14ac:dyDescent="0.25">
      <c r="B10" s="33" t="s">
        <v>1</v>
      </c>
      <c r="C10" s="34">
        <v>8</v>
      </c>
      <c r="D10" s="39" t="s">
        <v>35</v>
      </c>
      <c r="E10" s="102" t="str">
        <f>Filled_by_requestor!H12</f>
        <v>TMOAKZ01</v>
      </c>
      <c r="F10" s="37" t="s">
        <v>16</v>
      </c>
      <c r="G10" s="40" t="s">
        <v>18</v>
      </c>
    </row>
    <row r="11" spans="2:7" ht="26.25" thickBot="1" x14ac:dyDescent="0.25">
      <c r="B11" s="33" t="s">
        <v>2</v>
      </c>
      <c r="C11" s="34">
        <v>8</v>
      </c>
      <c r="D11" s="39" t="s">
        <v>5</v>
      </c>
      <c r="E11" s="103" t="s">
        <v>152</v>
      </c>
      <c r="F11" s="37" t="s">
        <v>16</v>
      </c>
      <c r="G11" s="35" t="s">
        <v>15</v>
      </c>
    </row>
    <row r="12" spans="2:7" ht="26.25" thickBot="1" x14ac:dyDescent="0.25">
      <c r="B12" s="33" t="s">
        <v>3</v>
      </c>
      <c r="C12" s="34">
        <v>4</v>
      </c>
      <c r="D12" s="39" t="s">
        <v>7</v>
      </c>
      <c r="E12" s="103" t="s">
        <v>134</v>
      </c>
      <c r="F12" s="37" t="s">
        <v>16</v>
      </c>
      <c r="G12" s="35" t="s">
        <v>135</v>
      </c>
    </row>
    <row r="13" spans="2:7" ht="39" thickBot="1" x14ac:dyDescent="0.25">
      <c r="B13" s="33" t="s">
        <v>4</v>
      </c>
      <c r="C13" s="34">
        <v>4</v>
      </c>
      <c r="D13" s="39" t="s">
        <v>31</v>
      </c>
      <c r="E13" s="104" t="s">
        <v>129</v>
      </c>
      <c r="F13" s="41" t="s">
        <v>17</v>
      </c>
      <c r="G13" s="35" t="s">
        <v>165</v>
      </c>
    </row>
    <row r="14" spans="2:7" ht="26.25" thickBot="1" x14ac:dyDescent="0.25">
      <c r="B14" s="42" t="s">
        <v>36</v>
      </c>
      <c r="C14" s="34">
        <v>2</v>
      </c>
      <c r="D14" s="39" t="s">
        <v>33</v>
      </c>
      <c r="E14" s="102" t="str">
        <f>Filled_by_requestor!F15</f>
        <v>FZ</v>
      </c>
      <c r="F14" s="37" t="s">
        <v>16</v>
      </c>
      <c r="G14" s="35" t="s">
        <v>9</v>
      </c>
    </row>
    <row r="15" spans="2:7" ht="15.75" thickBot="1" x14ac:dyDescent="0.25">
      <c r="B15" s="42" t="s">
        <v>37</v>
      </c>
      <c r="C15" s="34">
        <v>12</v>
      </c>
      <c r="D15" s="39" t="s">
        <v>38</v>
      </c>
      <c r="E15" s="103" t="s">
        <v>39</v>
      </c>
      <c r="F15" s="41" t="s">
        <v>17</v>
      </c>
      <c r="G15" s="101" t="s">
        <v>126</v>
      </c>
    </row>
    <row r="16" spans="2:7" ht="15.75" thickBot="1" x14ac:dyDescent="0.25">
      <c r="B16" s="42" t="s">
        <v>42</v>
      </c>
      <c r="C16" s="34">
        <v>6</v>
      </c>
      <c r="D16" s="39" t="s">
        <v>41</v>
      </c>
      <c r="E16" s="103" t="s">
        <v>43</v>
      </c>
      <c r="F16" s="41" t="s">
        <v>17</v>
      </c>
      <c r="G16" s="35" t="s">
        <v>44</v>
      </c>
    </row>
    <row r="17" spans="2:7" ht="15.75" thickBot="1" x14ac:dyDescent="0.25">
      <c r="B17" s="43" t="s">
        <v>45</v>
      </c>
      <c r="C17" s="44">
        <v>8</v>
      </c>
      <c r="D17" s="45" t="s">
        <v>55</v>
      </c>
      <c r="E17" s="105"/>
      <c r="F17" s="46"/>
      <c r="G17" s="47" t="s">
        <v>56</v>
      </c>
    </row>
  </sheetData>
  <mergeCells count="1">
    <mergeCell ref="B4:G4"/>
  </mergeCell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B2:G17"/>
  <sheetViews>
    <sheetView showGridLines="0" zoomScaleNormal="100" workbookViewId="0">
      <selection activeCell="Q2" sqref="Q2"/>
    </sheetView>
  </sheetViews>
  <sheetFormatPr baseColWidth="10" defaultRowHeight="12.75" x14ac:dyDescent="0.2"/>
  <cols>
    <col min="1" max="1" width="3.7109375" style="4" customWidth="1"/>
    <col min="2" max="2" width="12.42578125" style="4" customWidth="1"/>
    <col min="3" max="3" width="10" style="4" bestFit="1" customWidth="1"/>
    <col min="4" max="4" width="13.5703125" style="4" bestFit="1" customWidth="1"/>
    <col min="5" max="5" width="16.85546875" style="4" bestFit="1" customWidth="1"/>
    <col min="6" max="6" width="14.7109375" style="4" bestFit="1" customWidth="1"/>
    <col min="7" max="7" width="45.7109375" style="4" customWidth="1"/>
    <col min="8" max="16384" width="11.42578125" style="4"/>
  </cols>
  <sheetData>
    <row r="2" spans="2:7" ht="20.25" x14ac:dyDescent="0.3">
      <c r="B2" s="7" t="s">
        <v>132</v>
      </c>
    </row>
    <row r="4" spans="2:7" x14ac:dyDescent="0.2">
      <c r="B4" s="170" t="s">
        <v>123</v>
      </c>
      <c r="C4" s="170"/>
      <c r="D4" s="170"/>
      <c r="E4" s="170"/>
      <c r="F4" s="170"/>
      <c r="G4" s="170"/>
    </row>
    <row r="5" spans="2:7" x14ac:dyDescent="0.2">
      <c r="B5" s="5" t="s">
        <v>124</v>
      </c>
    </row>
    <row r="6" spans="2:7" x14ac:dyDescent="0.2">
      <c r="B6" s="5" t="s">
        <v>107</v>
      </c>
    </row>
    <row r="7" spans="2:7" ht="13.5" thickBot="1" x14ac:dyDescent="0.25">
      <c r="B7" s="5"/>
    </row>
    <row r="8" spans="2:7" ht="16.5" thickBot="1" x14ac:dyDescent="0.25">
      <c r="B8" s="1" t="s">
        <v>10</v>
      </c>
      <c r="C8" s="2" t="s">
        <v>11</v>
      </c>
      <c r="D8" s="3" t="s">
        <v>12</v>
      </c>
      <c r="E8" s="2" t="s">
        <v>13</v>
      </c>
      <c r="F8" s="2" t="s">
        <v>6</v>
      </c>
      <c r="G8" s="2" t="s">
        <v>14</v>
      </c>
    </row>
    <row r="9" spans="2:7" ht="39" thickBot="1" x14ac:dyDescent="0.25">
      <c r="B9" s="31" t="s">
        <v>0</v>
      </c>
      <c r="C9" s="32">
        <v>8</v>
      </c>
      <c r="D9" s="36" t="s">
        <v>34</v>
      </c>
      <c r="E9" s="102" t="str">
        <f>Filled_by_requestor!H12</f>
        <v>TMOAKZ01</v>
      </c>
      <c r="F9" s="37" t="s">
        <v>16</v>
      </c>
      <c r="G9" s="38" t="s">
        <v>18</v>
      </c>
    </row>
    <row r="10" spans="2:7" ht="26.25" thickBot="1" x14ac:dyDescent="0.25">
      <c r="B10" s="33" t="s">
        <v>1</v>
      </c>
      <c r="C10" s="34">
        <v>8</v>
      </c>
      <c r="D10" s="39" t="s">
        <v>35</v>
      </c>
      <c r="E10" s="102" t="str">
        <f>Filled_by_requestor!C15</f>
        <v>BVIS0610</v>
      </c>
      <c r="F10" s="37" t="s">
        <v>16</v>
      </c>
      <c r="G10" s="40" t="s">
        <v>32</v>
      </c>
    </row>
    <row r="11" spans="2:7" ht="26.25" thickBot="1" x14ac:dyDescent="0.25">
      <c r="B11" s="33" t="s">
        <v>2</v>
      </c>
      <c r="C11" s="34">
        <v>8</v>
      </c>
      <c r="D11" s="39" t="s">
        <v>5</v>
      </c>
      <c r="E11" s="103" t="s">
        <v>49</v>
      </c>
      <c r="F11" s="37" t="s">
        <v>16</v>
      </c>
      <c r="G11" s="35" t="s">
        <v>15</v>
      </c>
    </row>
    <row r="12" spans="2:7" ht="26.25" thickBot="1" x14ac:dyDescent="0.25">
      <c r="B12" s="33" t="s">
        <v>3</v>
      </c>
      <c r="C12" s="34">
        <v>4</v>
      </c>
      <c r="D12" s="39" t="s">
        <v>7</v>
      </c>
      <c r="E12" s="103" t="s">
        <v>134</v>
      </c>
      <c r="F12" s="37" t="s">
        <v>16</v>
      </c>
      <c r="G12" s="35" t="s">
        <v>135</v>
      </c>
    </row>
    <row r="13" spans="2:7" ht="15.75" thickBot="1" x14ac:dyDescent="0.25">
      <c r="B13" s="33" t="s">
        <v>4</v>
      </c>
      <c r="C13" s="34">
        <v>4</v>
      </c>
      <c r="D13" s="39" t="s">
        <v>31</v>
      </c>
      <c r="E13" s="103" t="s">
        <v>8</v>
      </c>
      <c r="F13" s="41" t="s">
        <v>17</v>
      </c>
      <c r="G13" s="35" t="s">
        <v>54</v>
      </c>
    </row>
    <row r="14" spans="2:7" ht="26.25" thickBot="1" x14ac:dyDescent="0.25">
      <c r="B14" s="42" t="s">
        <v>36</v>
      </c>
      <c r="C14" s="34">
        <v>2</v>
      </c>
      <c r="D14" s="39" t="s">
        <v>33</v>
      </c>
      <c r="E14" s="102" t="str">
        <f>Filled_by_requestor!F15</f>
        <v>FZ</v>
      </c>
      <c r="F14" s="37" t="s">
        <v>16</v>
      </c>
      <c r="G14" s="35" t="s">
        <v>9</v>
      </c>
    </row>
    <row r="15" spans="2:7" ht="15.75" thickBot="1" x14ac:dyDescent="0.25">
      <c r="B15" s="42" t="s">
        <v>37</v>
      </c>
      <c r="C15" s="34">
        <v>12</v>
      </c>
      <c r="D15" s="39" t="s">
        <v>38</v>
      </c>
      <c r="E15" s="103" t="s">
        <v>50</v>
      </c>
      <c r="F15" s="41" t="s">
        <v>17</v>
      </c>
      <c r="G15" s="35" t="s">
        <v>52</v>
      </c>
    </row>
    <row r="16" spans="2:7" ht="15.75" thickBot="1" x14ac:dyDescent="0.25">
      <c r="B16" s="42" t="s">
        <v>42</v>
      </c>
      <c r="C16" s="34">
        <v>6</v>
      </c>
      <c r="D16" s="39" t="s">
        <v>41</v>
      </c>
      <c r="E16" s="103" t="s">
        <v>51</v>
      </c>
      <c r="F16" s="41" t="s">
        <v>17</v>
      </c>
      <c r="G16" s="35" t="s">
        <v>53</v>
      </c>
    </row>
    <row r="17" spans="2:7" ht="15.75" thickBot="1" x14ac:dyDescent="0.25">
      <c r="B17" s="43" t="s">
        <v>45</v>
      </c>
      <c r="C17" s="44">
        <v>8</v>
      </c>
      <c r="D17" s="45" t="s">
        <v>55</v>
      </c>
      <c r="E17" s="105"/>
      <c r="F17" s="46"/>
      <c r="G17" s="47" t="s">
        <v>56</v>
      </c>
    </row>
  </sheetData>
  <mergeCells count="1">
    <mergeCell ref="B4:G4"/>
  </mergeCell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B2"/>
  <sheetViews>
    <sheetView showGridLines="0" workbookViewId="0">
      <selection activeCell="Q2" sqref="Q2"/>
    </sheetView>
  </sheetViews>
  <sheetFormatPr baseColWidth="10" defaultRowHeight="12.75" x14ac:dyDescent="0.2"/>
  <sheetData>
    <row r="2" spans="2:2" ht="20.25" x14ac:dyDescent="0.3">
      <c r="B2" s="7" t="s">
        <v>103</v>
      </c>
    </row>
  </sheetData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I24"/>
  <sheetViews>
    <sheetView showGridLines="0" zoomScaleNormal="100" workbookViewId="0">
      <selection activeCell="Q2" sqref="Q2"/>
    </sheetView>
  </sheetViews>
  <sheetFormatPr baseColWidth="10" defaultRowHeight="12.75" x14ac:dyDescent="0.2"/>
  <cols>
    <col min="1" max="1" width="3.7109375" style="4" customWidth="1"/>
    <col min="2" max="2" width="12.42578125" style="4" customWidth="1"/>
    <col min="3" max="3" width="13.5703125" style="4" customWidth="1"/>
    <col min="4" max="4" width="13.5703125" style="4" bestFit="1" customWidth="1"/>
    <col min="5" max="5" width="21.28515625" style="4" bestFit="1" customWidth="1"/>
    <col min="6" max="6" width="14.7109375" style="4" bestFit="1" customWidth="1"/>
    <col min="7" max="7" width="47.7109375" style="4" customWidth="1"/>
    <col min="8" max="8" width="4.140625" style="4" customWidth="1"/>
    <col min="9" max="16384" width="11.42578125" style="4"/>
  </cols>
  <sheetData>
    <row r="2" spans="2:9" ht="20.25" x14ac:dyDescent="0.3">
      <c r="B2" s="7" t="s">
        <v>59</v>
      </c>
    </row>
    <row r="4" spans="2:9" x14ac:dyDescent="0.2">
      <c r="B4" s="170" t="s">
        <v>108</v>
      </c>
      <c r="C4" s="170"/>
      <c r="D4" s="170"/>
      <c r="E4" s="170"/>
      <c r="F4" s="170"/>
      <c r="G4" s="170"/>
    </row>
    <row r="5" spans="2:9" x14ac:dyDescent="0.2">
      <c r="B5" s="5"/>
    </row>
    <row r="6" spans="2:9" ht="13.5" thickBot="1" x14ac:dyDescent="0.25">
      <c r="B6" s="5"/>
      <c r="I6" s="5"/>
    </row>
    <row r="7" spans="2:9" ht="16.5" thickBot="1" x14ac:dyDescent="0.25">
      <c r="B7" s="1" t="s">
        <v>10</v>
      </c>
      <c r="C7" s="2" t="s">
        <v>11</v>
      </c>
      <c r="D7" s="3" t="s">
        <v>12</v>
      </c>
      <c r="E7" s="2" t="s">
        <v>13</v>
      </c>
      <c r="F7" s="2" t="s">
        <v>6</v>
      </c>
      <c r="G7" s="2" t="s">
        <v>14</v>
      </c>
    </row>
    <row r="8" spans="2:9" ht="26.25" thickBot="1" x14ac:dyDescent="0.25">
      <c r="B8" s="31" t="s">
        <v>0</v>
      </c>
      <c r="C8" s="32">
        <v>8</v>
      </c>
      <c r="D8" s="36" t="s">
        <v>34</v>
      </c>
      <c r="E8" s="102" t="str">
        <f>Filled_by_requestor!H12</f>
        <v>TMOAKZ01</v>
      </c>
      <c r="F8" s="37" t="s">
        <v>16</v>
      </c>
      <c r="G8" s="38" t="s">
        <v>32</v>
      </c>
    </row>
    <row r="9" spans="2:9" ht="39" thickBot="1" x14ac:dyDescent="0.25">
      <c r="B9" s="33" t="s">
        <v>1</v>
      </c>
      <c r="C9" s="34">
        <v>8</v>
      </c>
      <c r="D9" s="39" t="s">
        <v>35</v>
      </c>
      <c r="E9" s="102" t="str">
        <f>Filled_by_requestor!C15</f>
        <v>BVIS0610</v>
      </c>
      <c r="F9" s="37" t="s">
        <v>16</v>
      </c>
      <c r="G9" s="40" t="s">
        <v>18</v>
      </c>
    </row>
    <row r="10" spans="2:9" ht="26.25" thickBot="1" x14ac:dyDescent="0.25">
      <c r="B10" s="33" t="s">
        <v>2</v>
      </c>
      <c r="C10" s="34">
        <v>8</v>
      </c>
      <c r="D10" s="39" t="s">
        <v>5</v>
      </c>
      <c r="E10" s="103" t="s">
        <v>60</v>
      </c>
      <c r="F10" s="37" t="s">
        <v>16</v>
      </c>
      <c r="G10" s="35" t="s">
        <v>15</v>
      </c>
    </row>
    <row r="11" spans="2:9" ht="26.25" thickBot="1" x14ac:dyDescent="0.25">
      <c r="B11" s="33" t="s">
        <v>3</v>
      </c>
      <c r="C11" s="34">
        <v>4</v>
      </c>
      <c r="D11" s="39" t="s">
        <v>7</v>
      </c>
      <c r="E11" s="103" t="s">
        <v>134</v>
      </c>
      <c r="F11" s="37" t="s">
        <v>16</v>
      </c>
      <c r="G11" s="35" t="s">
        <v>135</v>
      </c>
    </row>
    <row r="12" spans="2:9" ht="15.75" thickBot="1" x14ac:dyDescent="0.25">
      <c r="B12" s="33" t="s">
        <v>4</v>
      </c>
      <c r="C12" s="34">
        <v>4</v>
      </c>
      <c r="D12" s="39" t="s">
        <v>31</v>
      </c>
      <c r="E12" s="103" t="s">
        <v>8</v>
      </c>
      <c r="F12" s="41" t="s">
        <v>17</v>
      </c>
      <c r="G12" s="35" t="s">
        <v>54</v>
      </c>
    </row>
    <row r="13" spans="2:9" ht="26.25" thickBot="1" x14ac:dyDescent="0.25">
      <c r="B13" s="42" t="s">
        <v>36</v>
      </c>
      <c r="C13" s="34">
        <v>2</v>
      </c>
      <c r="D13" s="39" t="s">
        <v>33</v>
      </c>
      <c r="E13" s="102" t="str">
        <f>Filled_by_requestor!F15</f>
        <v>FZ</v>
      </c>
      <c r="F13" s="37" t="s">
        <v>16</v>
      </c>
      <c r="G13" s="35" t="s">
        <v>9</v>
      </c>
    </row>
    <row r="14" spans="2:9" ht="15.75" thickBot="1" x14ac:dyDescent="0.25">
      <c r="B14" s="42" t="s">
        <v>37</v>
      </c>
      <c r="C14" s="34">
        <v>12</v>
      </c>
      <c r="D14" s="39" t="s">
        <v>38</v>
      </c>
      <c r="E14" s="103" t="s">
        <v>50</v>
      </c>
      <c r="F14" s="41" t="s">
        <v>17</v>
      </c>
      <c r="G14" s="35" t="s">
        <v>52</v>
      </c>
    </row>
    <row r="15" spans="2:9" ht="15.75" thickBot="1" x14ac:dyDescent="0.25">
      <c r="B15" s="42" t="s">
        <v>42</v>
      </c>
      <c r="C15" s="34">
        <v>6</v>
      </c>
      <c r="D15" s="39" t="s">
        <v>41</v>
      </c>
      <c r="E15" s="103" t="s">
        <v>39</v>
      </c>
      <c r="F15" s="41" t="s">
        <v>17</v>
      </c>
      <c r="G15" s="35" t="s">
        <v>40</v>
      </c>
    </row>
    <row r="16" spans="2:9" ht="51.75" thickBot="1" x14ac:dyDescent="0.25">
      <c r="B16" s="50" t="s">
        <v>61</v>
      </c>
      <c r="C16" s="51">
        <v>20</v>
      </c>
      <c r="D16" s="52" t="s">
        <v>62</v>
      </c>
      <c r="E16" s="106"/>
      <c r="F16" s="37" t="s">
        <v>16</v>
      </c>
      <c r="G16" s="35" t="s">
        <v>65</v>
      </c>
    </row>
    <row r="17" spans="2:7" ht="26.25" thickBot="1" x14ac:dyDescent="0.25">
      <c r="B17" s="50" t="s">
        <v>63</v>
      </c>
      <c r="C17" s="51">
        <v>2</v>
      </c>
      <c r="D17" s="52" t="s">
        <v>64</v>
      </c>
      <c r="E17" s="106" t="s">
        <v>67</v>
      </c>
      <c r="F17" s="37" t="s">
        <v>16</v>
      </c>
      <c r="G17" s="35" t="s">
        <v>68</v>
      </c>
    </row>
    <row r="18" spans="2:7" ht="25.5" x14ac:dyDescent="0.2">
      <c r="B18" s="50" t="s">
        <v>66</v>
      </c>
      <c r="C18" s="51"/>
      <c r="D18" s="52"/>
      <c r="E18" s="106"/>
      <c r="F18" s="53" t="s">
        <v>16</v>
      </c>
      <c r="G18" s="35" t="s">
        <v>69</v>
      </c>
    </row>
    <row r="19" spans="2:7" s="56" customFormat="1" x14ac:dyDescent="0.2"/>
    <row r="20" spans="2:7" s="56" customFormat="1" x14ac:dyDescent="0.2"/>
    <row r="23" spans="2:7" x14ac:dyDescent="0.2">
      <c r="E23" s="5" t="s">
        <v>74</v>
      </c>
    </row>
    <row r="24" spans="2:7" x14ac:dyDescent="0.2">
      <c r="E24" s="5" t="s">
        <v>73</v>
      </c>
    </row>
  </sheetData>
  <mergeCells count="1">
    <mergeCell ref="B4:G4"/>
  </mergeCell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BK21"/>
  <sheetViews>
    <sheetView showGridLines="0" topLeftCell="C1" zoomScaleNormal="100" workbookViewId="0">
      <selection activeCell="Q2" sqref="Q2"/>
    </sheetView>
  </sheetViews>
  <sheetFormatPr baseColWidth="10" defaultRowHeight="12.75" x14ac:dyDescent="0.2"/>
  <cols>
    <col min="1" max="1" width="3.5703125" style="4" customWidth="1"/>
    <col min="2" max="2" width="9.28515625" style="4" bestFit="1" customWidth="1"/>
    <col min="3" max="35" width="4.42578125" customWidth="1"/>
    <col min="36" max="63" width="4" bestFit="1" customWidth="1"/>
  </cols>
  <sheetData>
    <row r="1" spans="2:63" x14ac:dyDescent="0.2">
      <c r="C1" s="4"/>
      <c r="D1" s="4"/>
      <c r="E1" s="4"/>
      <c r="F1" s="4"/>
      <c r="G1" s="4"/>
    </row>
    <row r="2" spans="2:63" ht="20.25" x14ac:dyDescent="0.3">
      <c r="C2" s="7" t="s">
        <v>59</v>
      </c>
      <c r="D2" s="4"/>
      <c r="E2" s="4"/>
      <c r="F2" s="4"/>
      <c r="G2" s="4"/>
    </row>
    <row r="3" spans="2:63" s="4" customFormat="1" ht="12.75" customHeight="1" x14ac:dyDescent="0.2">
      <c r="C3" s="170" t="s">
        <v>75</v>
      </c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  <c r="Q3" s="170"/>
      <c r="R3" s="170"/>
      <c r="S3" s="170"/>
      <c r="T3" s="170"/>
      <c r="AI3" s="5" t="s">
        <v>70</v>
      </c>
    </row>
    <row r="4" spans="2:63" s="4" customFormat="1" x14ac:dyDescent="0.2">
      <c r="C4" s="49"/>
      <c r="D4" s="49"/>
      <c r="E4" s="49"/>
      <c r="F4" s="49"/>
      <c r="G4" s="49"/>
      <c r="H4" s="49"/>
    </row>
    <row r="5" spans="2:63" x14ac:dyDescent="0.2">
      <c r="B5" s="64" t="s">
        <v>71</v>
      </c>
      <c r="C5" s="63">
        <v>75</v>
      </c>
      <c r="D5" s="63">
        <v>76</v>
      </c>
      <c r="E5" s="63">
        <v>77</v>
      </c>
      <c r="F5" s="63">
        <v>78</v>
      </c>
      <c r="G5" s="63">
        <v>79</v>
      </c>
      <c r="H5" s="63">
        <v>80</v>
      </c>
      <c r="I5" s="63">
        <v>81</v>
      </c>
      <c r="J5" s="63">
        <v>82</v>
      </c>
      <c r="K5" s="63">
        <v>83</v>
      </c>
      <c r="L5" s="63">
        <v>84</v>
      </c>
      <c r="M5" s="63">
        <v>85</v>
      </c>
      <c r="N5" s="63">
        <v>86</v>
      </c>
      <c r="O5" s="63">
        <v>87</v>
      </c>
      <c r="P5" s="63">
        <v>88</v>
      </c>
      <c r="Q5" s="63">
        <v>89</v>
      </c>
      <c r="R5" s="63">
        <v>90</v>
      </c>
      <c r="S5" s="63">
        <v>91</v>
      </c>
      <c r="T5" s="63">
        <v>92</v>
      </c>
      <c r="U5" s="63">
        <v>93</v>
      </c>
      <c r="V5" s="63">
        <v>94</v>
      </c>
      <c r="W5" s="63">
        <v>95</v>
      </c>
      <c r="X5" s="63">
        <v>96</v>
      </c>
      <c r="Y5" s="63">
        <v>97</v>
      </c>
      <c r="Z5" s="63">
        <v>98</v>
      </c>
      <c r="AA5" s="63">
        <v>99</v>
      </c>
      <c r="AB5" s="63">
        <v>100</v>
      </c>
      <c r="AC5" s="63">
        <v>101</v>
      </c>
      <c r="AD5" s="63">
        <v>102</v>
      </c>
      <c r="AE5" s="63">
        <v>103</v>
      </c>
      <c r="AF5" s="63">
        <v>104</v>
      </c>
      <c r="AG5" s="63">
        <v>105</v>
      </c>
    </row>
    <row r="6" spans="2:63" ht="25.5" customHeight="1" x14ac:dyDescent="0.2">
      <c r="B6" s="55" t="s">
        <v>72</v>
      </c>
      <c r="C6" s="59"/>
      <c r="D6" s="59"/>
      <c r="E6" s="59"/>
      <c r="F6" s="60"/>
      <c r="G6" s="61"/>
      <c r="H6" s="62"/>
      <c r="I6" s="62"/>
      <c r="J6" s="62"/>
      <c r="K6" s="62"/>
      <c r="L6" s="62"/>
      <c r="M6" s="62"/>
      <c r="N6" s="62"/>
      <c r="O6" s="62"/>
      <c r="P6" s="62"/>
      <c r="Q6" s="62"/>
      <c r="R6" s="62"/>
      <c r="S6" s="61"/>
      <c r="T6" s="62"/>
      <c r="U6" s="62"/>
      <c r="V6" s="62"/>
      <c r="W6" s="62"/>
      <c r="X6" s="62"/>
      <c r="Y6" s="61"/>
      <c r="Z6" s="62"/>
      <c r="AA6" s="62"/>
      <c r="AB6" s="62"/>
      <c r="AC6" s="62"/>
      <c r="AD6" s="62"/>
      <c r="AE6" s="61"/>
      <c r="AF6" s="62"/>
      <c r="AG6" s="62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57"/>
      <c r="AY6" s="57"/>
      <c r="AZ6" s="57"/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</row>
    <row r="8" spans="2:63" s="4" customFormat="1" x14ac:dyDescent="0.2">
      <c r="B8" s="64" t="s">
        <v>71</v>
      </c>
      <c r="C8" s="63">
        <v>106</v>
      </c>
      <c r="D8" s="63">
        <v>107</v>
      </c>
      <c r="E8" s="63">
        <v>108</v>
      </c>
      <c r="F8" s="63">
        <v>109</v>
      </c>
      <c r="G8" s="63">
        <v>110</v>
      </c>
      <c r="H8" s="63">
        <v>111</v>
      </c>
      <c r="I8" s="63">
        <v>112</v>
      </c>
      <c r="J8" s="63">
        <v>113</v>
      </c>
      <c r="K8" s="63">
        <v>114</v>
      </c>
      <c r="L8" s="63">
        <v>115</v>
      </c>
      <c r="M8" s="63">
        <v>116</v>
      </c>
      <c r="N8" s="63">
        <v>117</v>
      </c>
      <c r="O8" s="63">
        <v>118</v>
      </c>
      <c r="P8" s="63">
        <v>119</v>
      </c>
      <c r="Q8" s="63">
        <v>120</v>
      </c>
      <c r="R8" s="63">
        <v>121</v>
      </c>
      <c r="S8" s="63">
        <v>122</v>
      </c>
      <c r="T8" s="63">
        <v>123</v>
      </c>
      <c r="U8" s="63">
        <v>124</v>
      </c>
      <c r="V8" s="63">
        <v>125</v>
      </c>
      <c r="W8" s="63">
        <v>126</v>
      </c>
      <c r="X8" s="63">
        <v>127</v>
      </c>
      <c r="Y8" s="63">
        <v>128</v>
      </c>
      <c r="Z8" s="63">
        <v>129</v>
      </c>
      <c r="AA8" s="63">
        <v>130</v>
      </c>
      <c r="AB8" s="63">
        <v>131</v>
      </c>
      <c r="AC8" s="63">
        <v>132</v>
      </c>
      <c r="AD8" s="63">
        <v>133</v>
      </c>
      <c r="AE8" s="63">
        <v>134</v>
      </c>
      <c r="AF8" s="63">
        <v>135</v>
      </c>
      <c r="AG8" s="63">
        <v>136</v>
      </c>
    </row>
    <row r="9" spans="2:63" s="4" customFormat="1" ht="25.5" customHeight="1" x14ac:dyDescent="0.2">
      <c r="B9" s="55" t="s">
        <v>72</v>
      </c>
      <c r="C9" s="62"/>
      <c r="D9" s="62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</row>
    <row r="11" spans="2:63" s="54" customFormat="1" x14ac:dyDescent="0.2">
      <c r="B11" s="64" t="s">
        <v>71</v>
      </c>
      <c r="C11" s="63">
        <v>137</v>
      </c>
      <c r="D11" s="63">
        <v>138</v>
      </c>
      <c r="E11" s="63">
        <v>139</v>
      </c>
      <c r="F11" s="63">
        <v>140</v>
      </c>
      <c r="G11" s="63">
        <v>141</v>
      </c>
      <c r="H11" s="63">
        <v>142</v>
      </c>
      <c r="I11" s="63">
        <v>143</v>
      </c>
      <c r="J11" s="63">
        <v>144</v>
      </c>
      <c r="K11" s="63">
        <v>145</v>
      </c>
      <c r="L11" s="63">
        <v>146</v>
      </c>
      <c r="M11" s="63">
        <v>147</v>
      </c>
      <c r="N11" s="63">
        <v>148</v>
      </c>
      <c r="O11" s="63">
        <v>149</v>
      </c>
      <c r="P11" s="63">
        <v>150</v>
      </c>
      <c r="Q11" s="63">
        <v>151</v>
      </c>
      <c r="R11" s="63">
        <v>152</v>
      </c>
      <c r="S11" s="63">
        <v>153</v>
      </c>
      <c r="T11" s="63">
        <v>154</v>
      </c>
      <c r="U11" s="63">
        <v>155</v>
      </c>
      <c r="V11" s="63">
        <v>156</v>
      </c>
      <c r="W11" s="63">
        <v>157</v>
      </c>
      <c r="X11" s="63">
        <v>158</v>
      </c>
      <c r="Y11" s="63">
        <v>159</v>
      </c>
      <c r="Z11" s="63">
        <v>160</v>
      </c>
      <c r="AA11" s="63">
        <v>161</v>
      </c>
      <c r="AB11" s="63">
        <v>162</v>
      </c>
      <c r="AC11" s="63">
        <v>163</v>
      </c>
      <c r="AD11" s="63">
        <v>164</v>
      </c>
      <c r="AE11" s="63">
        <v>165</v>
      </c>
      <c r="AF11" s="63">
        <v>166</v>
      </c>
      <c r="AG11" s="63">
        <v>167</v>
      </c>
    </row>
    <row r="12" spans="2:63" ht="25.5" customHeight="1" x14ac:dyDescent="0.2">
      <c r="B12" s="55" t="s">
        <v>72</v>
      </c>
      <c r="C12" s="61"/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61"/>
    </row>
    <row r="13" spans="2:63" s="4" customFormat="1" x14ac:dyDescent="0.2"/>
    <row r="14" spans="2:63" s="54" customFormat="1" x14ac:dyDescent="0.2">
      <c r="B14" s="64" t="s">
        <v>71</v>
      </c>
      <c r="C14" s="63">
        <v>168</v>
      </c>
      <c r="D14" s="63">
        <v>169</v>
      </c>
      <c r="E14" s="63">
        <v>170</v>
      </c>
      <c r="F14" s="63">
        <v>171</v>
      </c>
      <c r="G14" s="63">
        <v>172</v>
      </c>
      <c r="H14" s="63">
        <v>173</v>
      </c>
      <c r="I14" s="63">
        <v>174</v>
      </c>
      <c r="J14" s="63">
        <v>175</v>
      </c>
      <c r="K14" s="63">
        <v>176</v>
      </c>
      <c r="L14" s="63">
        <v>177</v>
      </c>
      <c r="M14" s="63">
        <v>178</v>
      </c>
      <c r="N14" s="63">
        <v>179</v>
      </c>
      <c r="O14" s="63">
        <v>180</v>
      </c>
      <c r="P14" s="63">
        <v>181</v>
      </c>
      <c r="Q14" s="63">
        <v>182</v>
      </c>
      <c r="R14" s="63">
        <v>183</v>
      </c>
      <c r="S14" s="63">
        <v>184</v>
      </c>
      <c r="T14" s="63">
        <v>185</v>
      </c>
      <c r="U14" s="63">
        <v>186</v>
      </c>
      <c r="V14" s="63">
        <v>187</v>
      </c>
      <c r="W14" s="63">
        <v>188</v>
      </c>
      <c r="X14" s="63">
        <v>189</v>
      </c>
      <c r="Y14" s="63">
        <v>190</v>
      </c>
      <c r="Z14" s="63">
        <v>191</v>
      </c>
      <c r="AA14" s="63">
        <v>192</v>
      </c>
      <c r="AB14" s="63">
        <v>193</v>
      </c>
      <c r="AC14" s="63">
        <v>194</v>
      </c>
      <c r="AD14" s="63">
        <v>195</v>
      </c>
      <c r="AE14" s="63">
        <v>196</v>
      </c>
      <c r="AF14" s="63">
        <v>197</v>
      </c>
      <c r="AG14" s="63">
        <v>198</v>
      </c>
    </row>
    <row r="15" spans="2:63" s="54" customFormat="1" ht="25.5" customHeight="1" x14ac:dyDescent="0.2">
      <c r="B15" s="55" t="s">
        <v>72</v>
      </c>
      <c r="C15" s="58"/>
      <c r="D15" s="58"/>
      <c r="E15" s="58"/>
      <c r="F15" s="58"/>
      <c r="G15" s="58"/>
      <c r="H15" s="58"/>
      <c r="I15" s="58"/>
      <c r="J15" s="58"/>
      <c r="K15" s="58"/>
      <c r="L15" s="58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  <c r="Z15" s="58"/>
      <c r="AA15" s="58"/>
      <c r="AB15" s="58"/>
      <c r="AC15" s="58"/>
      <c r="AD15" s="58"/>
      <c r="AE15" s="58"/>
      <c r="AF15" s="58"/>
      <c r="AG15" s="58"/>
    </row>
    <row r="17" spans="2:33" s="54" customFormat="1" x14ac:dyDescent="0.2">
      <c r="B17" s="64" t="s">
        <v>71</v>
      </c>
      <c r="C17" s="63">
        <v>199</v>
      </c>
      <c r="D17" s="63">
        <v>200</v>
      </c>
      <c r="E17" s="63">
        <v>201</v>
      </c>
      <c r="F17" s="63">
        <v>202</v>
      </c>
      <c r="G17" s="63">
        <v>203</v>
      </c>
      <c r="H17" s="63">
        <v>204</v>
      </c>
      <c r="I17" s="63">
        <v>205</v>
      </c>
      <c r="J17" s="63">
        <v>206</v>
      </c>
      <c r="K17" s="63">
        <v>207</v>
      </c>
      <c r="L17" s="63">
        <v>208</v>
      </c>
      <c r="M17" s="63">
        <v>209</v>
      </c>
      <c r="N17" s="63">
        <v>210</v>
      </c>
      <c r="O17" s="63">
        <v>211</v>
      </c>
      <c r="P17" s="63">
        <v>212</v>
      </c>
      <c r="Q17" s="63">
        <v>213</v>
      </c>
      <c r="R17" s="63">
        <v>214</v>
      </c>
      <c r="S17" s="63">
        <v>215</v>
      </c>
      <c r="T17" s="63">
        <v>216</v>
      </c>
      <c r="U17" s="63">
        <v>217</v>
      </c>
      <c r="V17" s="63">
        <v>218</v>
      </c>
      <c r="W17" s="63">
        <v>219</v>
      </c>
      <c r="X17" s="63">
        <v>220</v>
      </c>
      <c r="Y17" s="63">
        <v>221</v>
      </c>
      <c r="Z17" s="63">
        <v>222</v>
      </c>
      <c r="AA17" s="63">
        <v>223</v>
      </c>
      <c r="AB17" s="63">
        <v>224</v>
      </c>
      <c r="AC17" s="63">
        <v>225</v>
      </c>
      <c r="AD17" s="63">
        <v>226</v>
      </c>
      <c r="AE17" s="63">
        <v>227</v>
      </c>
      <c r="AF17" s="63">
        <v>228</v>
      </c>
      <c r="AG17" s="63">
        <v>229</v>
      </c>
    </row>
    <row r="18" spans="2:33" ht="25.5" customHeight="1" x14ac:dyDescent="0.2">
      <c r="B18" s="55" t="s">
        <v>72</v>
      </c>
      <c r="C18" s="61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</row>
    <row r="20" spans="2:33" s="54" customFormat="1" x14ac:dyDescent="0.2">
      <c r="B20" s="64" t="s">
        <v>71</v>
      </c>
      <c r="C20" s="63">
        <v>230</v>
      </c>
      <c r="D20" s="63">
        <v>231</v>
      </c>
      <c r="E20" s="63">
        <v>232</v>
      </c>
      <c r="F20" s="63">
        <v>233</v>
      </c>
      <c r="G20" s="63">
        <v>234</v>
      </c>
      <c r="H20" s="63">
        <v>235</v>
      </c>
      <c r="I20" s="63">
        <v>236</v>
      </c>
      <c r="J20" s="63">
        <v>237</v>
      </c>
      <c r="K20" s="63">
        <v>238</v>
      </c>
      <c r="L20" s="63">
        <v>239</v>
      </c>
      <c r="M20" s="63">
        <v>240</v>
      </c>
      <c r="N20" s="63">
        <v>241</v>
      </c>
      <c r="O20" s="63">
        <v>242</v>
      </c>
      <c r="P20" s="63">
        <v>243</v>
      </c>
      <c r="Q20" s="63">
        <v>244</v>
      </c>
      <c r="R20" s="63">
        <v>245</v>
      </c>
      <c r="S20" s="63">
        <v>246</v>
      </c>
      <c r="T20" s="63">
        <v>247</v>
      </c>
      <c r="U20" s="63">
        <v>248</v>
      </c>
      <c r="V20" s="63">
        <v>249</v>
      </c>
      <c r="W20" s="63">
        <v>250</v>
      </c>
      <c r="X20" s="63">
        <v>251</v>
      </c>
      <c r="Y20" s="63">
        <v>252</v>
      </c>
      <c r="Z20" s="63">
        <v>253</v>
      </c>
      <c r="AA20" s="63">
        <v>254</v>
      </c>
      <c r="AB20" s="63">
        <v>255</v>
      </c>
      <c r="AC20" s="63">
        <v>256</v>
      </c>
    </row>
    <row r="21" spans="2:33" ht="25.5" customHeight="1" x14ac:dyDescent="0.2">
      <c r="B21" s="55" t="s">
        <v>72</v>
      </c>
      <c r="C21" s="61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</row>
  </sheetData>
  <mergeCells count="1">
    <mergeCell ref="C3:T3"/>
  </mergeCells>
  <pageMargins left="0.11811023622047245" right="0.11811023622047245" top="0.19685039370078741" bottom="0.19685039370078741" header="0.31496062992125984" footer="0.31496062992125984"/>
  <pageSetup paperSize="9" scale="85" orientation="portrait" r:id="rId1"/>
  <headerFooter>
    <oddFooter>&amp;L&amp;F&amp;CSeite &amp;P von &amp;N&amp;R&amp;A</oddFooter>
  </headerFooter>
  <colBreaks count="1" manualBreakCount="1">
    <brk id="34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showWhiteSpace="0" zoomScale="130" zoomScaleNormal="130" workbookViewId="0">
      <selection activeCell="B12" sqref="B12"/>
    </sheetView>
  </sheetViews>
  <sheetFormatPr baseColWidth="10" defaultRowHeight="15" x14ac:dyDescent="0.25"/>
  <cols>
    <col min="1" max="1" width="8.140625" style="117" customWidth="1"/>
    <col min="2" max="2" width="46.140625" style="117" customWidth="1"/>
    <col min="3" max="3" width="22.140625" style="117" customWidth="1"/>
    <col min="4" max="4" width="28.140625" style="123" customWidth="1"/>
    <col min="5" max="5" width="31.140625" style="123" customWidth="1"/>
    <col min="6" max="16384" width="11.42578125" style="117"/>
  </cols>
  <sheetData>
    <row r="1" spans="1:6" ht="15" customHeight="1" x14ac:dyDescent="0.25">
      <c r="A1" s="174" t="s">
        <v>172</v>
      </c>
      <c r="B1" s="175" t="s">
        <v>173</v>
      </c>
      <c r="C1" s="175"/>
      <c r="D1" s="175"/>
      <c r="E1" s="115" t="s">
        <v>190</v>
      </c>
      <c r="F1" s="116"/>
    </row>
    <row r="2" spans="1:6" ht="15" customHeight="1" x14ac:dyDescent="0.25">
      <c r="A2" s="174"/>
      <c r="B2" s="175" t="s">
        <v>174</v>
      </c>
      <c r="C2" s="175"/>
      <c r="D2" s="175"/>
      <c r="E2" s="115" t="s">
        <v>175</v>
      </c>
      <c r="F2" s="116"/>
    </row>
    <row r="3" spans="1:6" ht="15" customHeight="1" x14ac:dyDescent="0.25">
      <c r="A3" s="174"/>
      <c r="B3" s="176"/>
      <c r="C3" s="176"/>
      <c r="D3" s="176"/>
      <c r="E3" s="175" t="s">
        <v>176</v>
      </c>
      <c r="F3" s="116"/>
    </row>
    <row r="4" spans="1:6" ht="52.15" customHeight="1" x14ac:dyDescent="0.25">
      <c r="A4" s="174"/>
      <c r="B4" s="176"/>
      <c r="C4" s="176"/>
      <c r="D4" s="176"/>
      <c r="E4" s="175"/>
      <c r="F4" s="116"/>
    </row>
    <row r="5" spans="1:6" ht="33" customHeight="1" x14ac:dyDescent="0.25">
      <c r="A5" s="174"/>
      <c r="B5" s="177" t="s">
        <v>177</v>
      </c>
      <c r="C5" s="177"/>
      <c r="D5" s="177"/>
      <c r="E5" s="118" t="s">
        <v>178</v>
      </c>
      <c r="F5" s="116"/>
    </row>
    <row r="6" spans="1:6" x14ac:dyDescent="0.25">
      <c r="A6" s="171"/>
      <c r="B6" s="171"/>
      <c r="C6" s="171"/>
      <c r="D6" s="171"/>
      <c r="E6" s="171"/>
      <c r="F6" s="116"/>
    </row>
    <row r="7" spans="1:6" ht="15" customHeight="1" x14ac:dyDescent="0.25">
      <c r="A7" s="172"/>
      <c r="B7" s="172"/>
      <c r="C7" s="172"/>
      <c r="D7" s="172"/>
      <c r="E7" s="172"/>
      <c r="F7" s="116"/>
    </row>
    <row r="8" spans="1:6" x14ac:dyDescent="0.25">
      <c r="A8" s="173" t="s">
        <v>179</v>
      </c>
      <c r="B8" s="173"/>
      <c r="C8" s="173"/>
      <c r="D8" s="173"/>
      <c r="E8" s="173"/>
      <c r="F8" s="116"/>
    </row>
    <row r="9" spans="1:6" ht="39" x14ac:dyDescent="0.25">
      <c r="A9" s="119" t="s">
        <v>180</v>
      </c>
      <c r="B9" s="120" t="s">
        <v>181</v>
      </c>
      <c r="C9" s="119" t="s">
        <v>182</v>
      </c>
      <c r="D9" s="119" t="s">
        <v>183</v>
      </c>
      <c r="E9" s="119" t="s">
        <v>184</v>
      </c>
      <c r="F9" s="116"/>
    </row>
    <row r="10" spans="1:6" ht="22.15" customHeight="1" x14ac:dyDescent="0.25">
      <c r="A10" s="124" t="s">
        <v>171</v>
      </c>
      <c r="B10" s="121" t="s">
        <v>185</v>
      </c>
      <c r="C10" s="121" t="s">
        <v>186</v>
      </c>
      <c r="D10" s="121" t="s">
        <v>187</v>
      </c>
      <c r="E10" s="121" t="s">
        <v>188</v>
      </c>
      <c r="F10" s="116"/>
    </row>
    <row r="11" spans="1:6" ht="22.35" customHeight="1" x14ac:dyDescent="0.25">
      <c r="A11" s="125" t="s">
        <v>199</v>
      </c>
      <c r="B11" s="121" t="s">
        <v>166</v>
      </c>
      <c r="C11" s="121" t="s">
        <v>195</v>
      </c>
      <c r="D11" s="122"/>
      <c r="E11" s="122"/>
    </row>
    <row r="12" spans="1:6" ht="22.35" customHeight="1" x14ac:dyDescent="0.25">
      <c r="A12" s="125" t="s">
        <v>198</v>
      </c>
      <c r="B12" s="121" t="s">
        <v>167</v>
      </c>
      <c r="C12" s="121" t="s">
        <v>194</v>
      </c>
      <c r="D12" s="122"/>
      <c r="E12" s="122"/>
    </row>
    <row r="13" spans="1:6" ht="22.35" customHeight="1" x14ac:dyDescent="0.25">
      <c r="A13" s="125" t="s">
        <v>197</v>
      </c>
      <c r="B13" s="121" t="s">
        <v>168</v>
      </c>
      <c r="C13" s="121" t="s">
        <v>193</v>
      </c>
      <c r="D13" s="121"/>
      <c r="E13" s="121"/>
      <c r="F13" s="116"/>
    </row>
    <row r="14" spans="1:6" ht="22.35" customHeight="1" x14ac:dyDescent="0.25">
      <c r="A14" s="124" t="s">
        <v>196</v>
      </c>
      <c r="B14" s="121" t="s">
        <v>169</v>
      </c>
      <c r="C14" s="121" t="s">
        <v>192</v>
      </c>
      <c r="D14" s="121"/>
      <c r="E14" s="121"/>
      <c r="F14" s="116"/>
    </row>
    <row r="15" spans="1:6" ht="22.35" customHeight="1" x14ac:dyDescent="0.25">
      <c r="A15" s="124" t="s">
        <v>189</v>
      </c>
      <c r="B15" s="121" t="s">
        <v>170</v>
      </c>
      <c r="C15" s="121" t="s">
        <v>191</v>
      </c>
      <c r="D15" s="121"/>
      <c r="E15" s="121"/>
      <c r="F15" s="116"/>
    </row>
  </sheetData>
  <mergeCells count="9">
    <mergeCell ref="A6:E6"/>
    <mergeCell ref="A7:E7"/>
    <mergeCell ref="A8:E8"/>
    <mergeCell ref="A1:A5"/>
    <mergeCell ref="B1:D1"/>
    <mergeCell ref="B2:D2"/>
    <mergeCell ref="B3:D4"/>
    <mergeCell ref="E3:E4"/>
    <mergeCell ref="B5:D5"/>
  </mergeCells>
  <pageMargins left="0.43307086614173229" right="0.43307086614173229" top="0.62992125984251968" bottom="0.59055118110236227" header="0.31496062992125984" footer="0.31496062992125984"/>
  <pageSetup paperSize="9" orientation="landscape" r:id="rId1"/>
  <headerFooter>
    <oddHeader>&amp;C&amp;"BMW Group Condensed,Fett"&amp;12Lenkungsinformationen</oddHeader>
    <oddFooter>&amp;C&amp;"BMW Group Condensed,Fett"&amp;10Ausdruck nur zur Information&amp;R&amp;"BMW Group Condensed,Fett"&amp;10S. 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7</vt:i4>
      </vt:variant>
    </vt:vector>
  </HeadingPairs>
  <TitlesOfParts>
    <vt:vector size="16" baseType="lpstr">
      <vt:lpstr>Filled_by_requestor</vt:lpstr>
      <vt:lpstr>SPSDATEN</vt:lpstr>
      <vt:lpstr>SPSDELET</vt:lpstr>
      <vt:lpstr>SPSFRGIO</vt:lpstr>
      <vt:lpstr>SPS_PING</vt:lpstr>
      <vt:lpstr>Layout</vt:lpstr>
      <vt:lpstr>SPSWERTE</vt:lpstr>
      <vt:lpstr>SPSWERTE_values</vt:lpstr>
      <vt:lpstr>Changes</vt:lpstr>
      <vt:lpstr>Changes!Druckbereich</vt:lpstr>
      <vt:lpstr>Filled_by_requestor!Druckbereich</vt:lpstr>
      <vt:lpstr>SPS_PING!Druckbereich</vt:lpstr>
      <vt:lpstr>SPSDATEN!Druckbereich</vt:lpstr>
      <vt:lpstr>SPSDELET!Druckbereich</vt:lpstr>
      <vt:lpstr>SPSFRGIO!Druckbereich</vt:lpstr>
      <vt:lpstr>SPSWERTE!Druckbereich</vt:lpstr>
    </vt:vector>
  </TitlesOfParts>
  <Company>BMW Group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Mindermann;TM-425</dc:creator>
  <cp:lastModifiedBy>Wegerer Alois</cp:lastModifiedBy>
  <cp:lastPrinted>2014-04-08T12:42:17Z</cp:lastPrinted>
  <dcterms:created xsi:type="dcterms:W3CDTF">2007-04-13T13:29:50Z</dcterms:created>
  <dcterms:modified xsi:type="dcterms:W3CDTF">2017-11-27T11:54:32Z</dcterms:modified>
</cp:coreProperties>
</file>